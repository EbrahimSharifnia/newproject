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liveutk.sharepoint.com/sites/CASREPublications-GuilhermePh.D.DissertationandPapers/Shared Documents/Guilherme– Ph.D. Dissertation and Papers/Data/"/>
    </mc:Choice>
  </mc:AlternateContent>
  <xr:revisionPtr revIDLastSave="1264" documentId="8_{23579199-D2D6-454C-BD86-1DF497806D3B}" xr6:coauthVersionLast="47" xr6:coauthVersionMax="47" xr10:uidLastSave="{50314BAE-4591-4B26-9CF3-B1AF16450FCE}"/>
  <bookViews>
    <workbookView minimized="1" xWindow="30450" yWindow="1650" windowWidth="38700" windowHeight="15225" tabRatio="905" activeTab="9" xr2:uid="{00000000-000D-0000-FFFF-FFFF00000000}"/>
  </bookViews>
  <sheets>
    <sheet name="Data_Compiled" sheetId="151" r:id="rId1"/>
    <sheet name="Master 2022" sheetId="3" r:id="rId2"/>
    <sheet name="Akulic, Marlene" sheetId="4" r:id="rId3"/>
    <sheet name="Armstrong, Mary" sheetId="104" r:id="rId4"/>
    <sheet name="Atkins, Reva" sheetId="6" r:id="rId5"/>
    <sheet name="Barnes, Ashley" sheetId="140" r:id="rId6"/>
    <sheet name="Barnes, Eric " sheetId="7" r:id="rId7"/>
    <sheet name="Barnes, Sarah " sheetId="8" r:id="rId8"/>
    <sheet name="Bivens, Bethany" sheetId="114" r:id="rId9"/>
    <sheet name="Bivens, Diane" sheetId="10" r:id="rId10"/>
    <sheet name="Bivens, Tammie" sheetId="11" r:id="rId11"/>
    <sheet name="Bledsoe, Amy " sheetId="12" r:id="rId12"/>
    <sheet name="Bookout, Nancy " sheetId="13" r:id="rId13"/>
    <sheet name="Bourzac, Nanette Lo " sheetId="14" r:id="rId14"/>
    <sheet name="Brooks, Tammy " sheetId="15" r:id="rId15"/>
    <sheet name="Brummett, Sebrina" sheetId="16" r:id="rId16"/>
    <sheet name="Bryan, Sheena" sheetId="17" r:id="rId17"/>
    <sheet name="Burger, Mary" sheetId="122" r:id="rId18"/>
    <sheet name="Cannon, Jennifer" sheetId="18" r:id="rId19"/>
    <sheet name="Carroll, Robin " sheetId="19" r:id="rId20"/>
    <sheet name="Cathcart, Bess " sheetId="20" r:id="rId21"/>
    <sheet name="Childress, Stacy " sheetId="21" r:id="rId22"/>
    <sheet name="Clark, Elizabeth " sheetId="22" r:id="rId23"/>
    <sheet name="Coburn, Lisa " sheetId="23" r:id="rId24"/>
    <sheet name="Cooley, Tammy " sheetId="24" r:id="rId25"/>
    <sheet name="Cooper, Alice" sheetId="25" r:id="rId26"/>
    <sheet name="Davis, Kimberly " sheetId="26" r:id="rId27"/>
    <sheet name="Douglas, Krystopher" sheetId="130" r:id="rId28"/>
    <sheet name="Davis, Tyler " sheetId="27" r:id="rId29"/>
    <sheet name="Dotson, Wanda " sheetId="28" r:id="rId30"/>
    <sheet name="Dunn, Lois " sheetId="29" r:id="rId31"/>
    <sheet name="Fabrizio, Jamie " sheetId="31" r:id="rId32"/>
    <sheet name="Ghormley, Kelly " sheetId="119" r:id="rId33"/>
    <sheet name="Gibby, Benjamin " sheetId="33" r:id="rId34"/>
    <sheet name="Gibby, Deborah " sheetId="35" r:id="rId35"/>
    <sheet name="Givens, Robert " sheetId="129" r:id="rId36"/>
    <sheet name="Godwin, Tonya " sheetId="36" r:id="rId37"/>
    <sheet name="Hall, Fredrick " sheetId="37" r:id="rId38"/>
    <sheet name="Hall, Mary " sheetId="38" r:id="rId39"/>
    <sheet name="Hampton, Angela " sheetId="39" r:id="rId40"/>
    <sheet name="Harris, Nancy " sheetId="43" r:id="rId41"/>
    <sheet name="Harrison, Chuck " sheetId="45" r:id="rId42"/>
    <sheet name="Headrick, Lena " sheetId="46" r:id="rId43"/>
    <sheet name="Helton, Lisa" sheetId="116" r:id="rId44"/>
    <sheet name="Hicks, lisa " sheetId="47" r:id="rId45"/>
    <sheet name="Hicks, Shelby" sheetId="103" r:id="rId46"/>
    <sheet name="Howarth, Amy " sheetId="48" r:id="rId47"/>
    <sheet name="Hunt, Nancy " sheetId="49" r:id="rId48"/>
    <sheet name="Jones, Deborah" sheetId="139" r:id="rId49"/>
    <sheet name="Kelly, Delmis " sheetId="135" r:id="rId50"/>
    <sheet name="Kelly, Justin " sheetId="51" r:id="rId51"/>
    <sheet name="Kliever, Debbie " sheetId="52" r:id="rId52"/>
    <sheet name="Lee, Ginger " sheetId="53" r:id="rId53"/>
    <sheet name="Lorenz, Viola " sheetId="56" r:id="rId54"/>
    <sheet name="Marrero, Rachel " sheetId="57" r:id="rId55"/>
    <sheet name="Martin, Dusty " sheetId="127" r:id="rId56"/>
    <sheet name="May, Cynthia " sheetId="60" r:id="rId57"/>
    <sheet name="McCluskey, Loreta " sheetId="61" r:id="rId58"/>
    <sheet name="McDaniel, Kaylee" sheetId="117" r:id="rId59"/>
    <sheet name="McKee, Nathan" sheetId="64" r:id="rId60"/>
    <sheet name="Miller, Gary " sheetId="66" r:id="rId61"/>
    <sheet name="Mills, Gary " sheetId="67" r:id="rId62"/>
    <sheet name="Moore, Darlene " sheetId="69" r:id="rId63"/>
    <sheet name="Morris, Jessie" sheetId="111" r:id="rId64"/>
    <sheet name="Nichols, Brenda " sheetId="70" r:id="rId65"/>
    <sheet name="Parker, Jerry" sheetId="131" r:id="rId66"/>
    <sheet name="Patterson, Pamela " sheetId="72" r:id="rId67"/>
    <sheet name="Peels, Carolyn " sheetId="73" r:id="rId68"/>
    <sheet name="Peels, Timothy " sheetId="74" r:id="rId69"/>
    <sheet name="Poff, Jessica " sheetId="75" r:id="rId70"/>
    <sheet name="Rankin, Alan " sheetId="137" r:id="rId71"/>
    <sheet name="Reagan, Sandra" sheetId="121" r:id="rId72"/>
    <sheet name="Redman, Melissa" sheetId="106" r:id="rId73"/>
    <sheet name="Richesin, Joey " sheetId="101" r:id="rId74"/>
    <sheet name="Roberts, Beverly" sheetId="138" r:id="rId75"/>
    <sheet name="Roberts, Lisa " sheetId="76" r:id="rId76"/>
    <sheet name="Roberts, Lori " sheetId="77" r:id="rId77"/>
    <sheet name="Rupinski, Angela " sheetId="78" r:id="rId78"/>
    <sheet name="Rupinski, Alexis" sheetId="113" r:id="rId79"/>
    <sheet name="Schutt, Caleb " sheetId="79" r:id="rId80"/>
    <sheet name="Schomaker, Carla " sheetId="125" r:id="rId81"/>
    <sheet name="Selby, Chasity " sheetId="80" r:id="rId82"/>
    <sheet name="Self, Janet " sheetId="81" r:id="rId83"/>
    <sheet name="Sharp, Sonia " sheetId="82" r:id="rId84"/>
    <sheet name="Shaw, Teia " sheetId="83" r:id="rId85"/>
    <sheet name="Shepherd, Christina" sheetId="132" r:id="rId86"/>
    <sheet name="Smith, Shannon" sheetId="120" r:id="rId87"/>
    <sheet name="Smith,Justin" sheetId="133" r:id="rId88"/>
    <sheet name="Stafford, Tabitha " sheetId="84" r:id="rId89"/>
    <sheet name="Stevens, Lorie" sheetId="123" r:id="rId90"/>
    <sheet name="Thomas, Emily " sheetId="88" r:id="rId91"/>
    <sheet name="Tipton, Rebecca" sheetId="112" r:id="rId92"/>
    <sheet name="Vaughn, Gregory " sheetId="90" r:id="rId93"/>
    <sheet name="Veit, Jordan " sheetId="92" r:id="rId94"/>
    <sheet name="Watson, Dennis " sheetId="94" r:id="rId95"/>
    <sheet name="Wells, James " sheetId="126" r:id="rId96"/>
    <sheet name="West, Sandra " sheetId="95" r:id="rId97"/>
    <sheet name="Young, Karen " sheetId="98" r:id="rId9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W27" i="151" l="1"/>
  <c r="CW3" i="151"/>
  <c r="CW4" i="151"/>
  <c r="CW5" i="151"/>
  <c r="CW6" i="151"/>
  <c r="CW7" i="151"/>
  <c r="CW8" i="151"/>
  <c r="CW9" i="151"/>
  <c r="CW10" i="151"/>
  <c r="CW11" i="151"/>
  <c r="CW12" i="151"/>
  <c r="CW13" i="151"/>
  <c r="CW2" i="151"/>
  <c r="CV13" i="151"/>
  <c r="CV12" i="151"/>
  <c r="CV11" i="151"/>
  <c r="CV10" i="151"/>
  <c r="CV9" i="151"/>
  <c r="CV8" i="151"/>
  <c r="CV7" i="151"/>
  <c r="CV6" i="151"/>
  <c r="CV5" i="151"/>
  <c r="CV4" i="151"/>
  <c r="CV3" i="151"/>
  <c r="CV2" i="151"/>
  <c r="BB3" i="151"/>
  <c r="BC3" i="151"/>
  <c r="BD3" i="151"/>
  <c r="BE3" i="151"/>
  <c r="BF3" i="151"/>
  <c r="BG3" i="151"/>
  <c r="BH3" i="151"/>
  <c r="BH15" i="151" s="1"/>
  <c r="BI3" i="151"/>
  <c r="BJ3" i="151"/>
  <c r="BK3" i="151"/>
  <c r="BL3" i="151"/>
  <c r="BM3" i="151"/>
  <c r="BN3" i="151"/>
  <c r="BO3" i="151"/>
  <c r="BP3" i="151"/>
  <c r="BP27" i="151" s="1"/>
  <c r="BP28" i="151" s="1"/>
  <c r="BP29" i="151" s="1"/>
  <c r="BQ3" i="151"/>
  <c r="BR3" i="151"/>
  <c r="BS3" i="151"/>
  <c r="BT3" i="151"/>
  <c r="BU3" i="151"/>
  <c r="BV3" i="151"/>
  <c r="BW3" i="151"/>
  <c r="BX3" i="151"/>
  <c r="BX15" i="151" s="1"/>
  <c r="BY3" i="151"/>
  <c r="BZ3" i="151"/>
  <c r="CA3" i="151"/>
  <c r="CB3" i="151"/>
  <c r="CC3" i="151"/>
  <c r="CD3" i="151"/>
  <c r="CE3" i="151"/>
  <c r="CF3" i="151"/>
  <c r="CF27" i="151" s="1"/>
  <c r="CF28" i="151" s="1"/>
  <c r="CF29" i="151" s="1"/>
  <c r="CG3" i="151"/>
  <c r="CH3" i="151"/>
  <c r="CI3" i="151"/>
  <c r="CJ3" i="151"/>
  <c r="CK3" i="151"/>
  <c r="CL3" i="151"/>
  <c r="CM3" i="151"/>
  <c r="CN3" i="151"/>
  <c r="CN27" i="151" s="1"/>
  <c r="CN28" i="151" s="1"/>
  <c r="CN29" i="151" s="1"/>
  <c r="CO3" i="151"/>
  <c r="CP3" i="151"/>
  <c r="CQ3" i="151"/>
  <c r="CR3" i="151"/>
  <c r="CS3" i="151"/>
  <c r="BB4" i="151"/>
  <c r="BC4" i="151"/>
  <c r="BD4" i="151"/>
  <c r="BD16" i="151" s="1"/>
  <c r="BE4" i="151"/>
  <c r="BF4" i="151"/>
  <c r="BG4" i="151"/>
  <c r="BH4" i="151"/>
  <c r="BI4" i="151"/>
  <c r="BJ4" i="151"/>
  <c r="BK4" i="151"/>
  <c r="BL4" i="151"/>
  <c r="BL16" i="151" s="1"/>
  <c r="BM4" i="151"/>
  <c r="BN4" i="151"/>
  <c r="BO4" i="151"/>
  <c r="BP4" i="151"/>
  <c r="BQ4" i="151"/>
  <c r="BR4" i="151"/>
  <c r="BS4" i="151"/>
  <c r="BT4" i="151"/>
  <c r="BT16" i="151" s="1"/>
  <c r="BU4" i="151"/>
  <c r="BV4" i="151"/>
  <c r="BW4" i="151"/>
  <c r="BX4" i="151"/>
  <c r="BY4" i="151"/>
  <c r="BZ4" i="151"/>
  <c r="CA4" i="151"/>
  <c r="CB4" i="151"/>
  <c r="CB27" i="151" s="1"/>
  <c r="CB28" i="151" s="1"/>
  <c r="CB29" i="151" s="1"/>
  <c r="CC4" i="151"/>
  <c r="CD4" i="151"/>
  <c r="CE4" i="151"/>
  <c r="CF4" i="151"/>
  <c r="CG4" i="151"/>
  <c r="CH4" i="151"/>
  <c r="CI4" i="151"/>
  <c r="CJ4" i="151"/>
  <c r="CJ16" i="151" s="1"/>
  <c r="CK4" i="151"/>
  <c r="CL4" i="151"/>
  <c r="CM4" i="151"/>
  <c r="CN4" i="151"/>
  <c r="CO4" i="151"/>
  <c r="CP4" i="151"/>
  <c r="CQ4" i="151"/>
  <c r="CR4" i="151"/>
  <c r="CR16" i="151" s="1"/>
  <c r="CS4" i="151"/>
  <c r="BB5" i="151"/>
  <c r="BC5" i="151"/>
  <c r="BD5" i="151"/>
  <c r="BE5" i="151"/>
  <c r="BF5" i="151"/>
  <c r="BG5" i="151"/>
  <c r="BH5" i="151"/>
  <c r="BH17" i="151" s="1"/>
  <c r="BI5" i="151"/>
  <c r="BJ5" i="151"/>
  <c r="BK5" i="151"/>
  <c r="BL5" i="151"/>
  <c r="BM5" i="151"/>
  <c r="BN5" i="151"/>
  <c r="BO5" i="151"/>
  <c r="BP5" i="151"/>
  <c r="BP17" i="151" s="1"/>
  <c r="BQ5" i="151"/>
  <c r="BR5" i="151"/>
  <c r="BS5" i="151"/>
  <c r="BT5" i="151"/>
  <c r="BU5" i="151"/>
  <c r="BV5" i="151"/>
  <c r="BW5" i="151"/>
  <c r="BX5" i="151"/>
  <c r="BX17" i="151" s="1"/>
  <c r="BY5" i="151"/>
  <c r="BZ5" i="151"/>
  <c r="CA5" i="151"/>
  <c r="CB5" i="151"/>
  <c r="CC5" i="151"/>
  <c r="CD5" i="151"/>
  <c r="CE5" i="151"/>
  <c r="CF5" i="151"/>
  <c r="CF17" i="151" s="1"/>
  <c r="CG5" i="151"/>
  <c r="CH5" i="151"/>
  <c r="CI5" i="151"/>
  <c r="CJ5" i="151"/>
  <c r="CK5" i="151"/>
  <c r="CL5" i="151"/>
  <c r="CM5" i="151"/>
  <c r="CN5" i="151"/>
  <c r="CN17" i="151" s="1"/>
  <c r="CO5" i="151"/>
  <c r="CP5" i="151"/>
  <c r="CQ5" i="151"/>
  <c r="CR5" i="151"/>
  <c r="CS5" i="151"/>
  <c r="BB6" i="151"/>
  <c r="BC6" i="151"/>
  <c r="BD6" i="151"/>
  <c r="BD18" i="151" s="1"/>
  <c r="BE6" i="151"/>
  <c r="BF6" i="151"/>
  <c r="BG6" i="151"/>
  <c r="BH6" i="151"/>
  <c r="BI6" i="151"/>
  <c r="BJ6" i="151"/>
  <c r="BK6" i="151"/>
  <c r="BL6" i="151"/>
  <c r="BL18" i="151" s="1"/>
  <c r="BM6" i="151"/>
  <c r="BN6" i="151"/>
  <c r="BO6" i="151"/>
  <c r="BP6" i="151"/>
  <c r="BQ6" i="151"/>
  <c r="BR6" i="151"/>
  <c r="BS6" i="151"/>
  <c r="BT6" i="151"/>
  <c r="BT18" i="151" s="1"/>
  <c r="BU6" i="151"/>
  <c r="BV6" i="151"/>
  <c r="BW6" i="151"/>
  <c r="BX6" i="151"/>
  <c r="BY6" i="151"/>
  <c r="BZ6" i="151"/>
  <c r="CA6" i="151"/>
  <c r="CB6" i="151"/>
  <c r="CB18" i="151" s="1"/>
  <c r="CC6" i="151"/>
  <c r="CD6" i="151"/>
  <c r="CE6" i="151"/>
  <c r="CF6" i="151"/>
  <c r="CG6" i="151"/>
  <c r="CH6" i="151"/>
  <c r="CI6" i="151"/>
  <c r="CJ6" i="151"/>
  <c r="CJ18" i="151" s="1"/>
  <c r="CK6" i="151"/>
  <c r="CL6" i="151"/>
  <c r="CM6" i="151"/>
  <c r="CN6" i="151"/>
  <c r="CO6" i="151"/>
  <c r="CP6" i="151"/>
  <c r="CQ6" i="151"/>
  <c r="CR6" i="151"/>
  <c r="CR18" i="151" s="1"/>
  <c r="CS6" i="151"/>
  <c r="BB7" i="151"/>
  <c r="BC7" i="151"/>
  <c r="BD7" i="151"/>
  <c r="BE7" i="151"/>
  <c r="BF7" i="151"/>
  <c r="BG7" i="151"/>
  <c r="BH7" i="151"/>
  <c r="BH19" i="151" s="1"/>
  <c r="BI7" i="151"/>
  <c r="BJ7" i="151"/>
  <c r="BK7" i="151"/>
  <c r="BL7" i="151"/>
  <c r="BM7" i="151"/>
  <c r="BN7" i="151"/>
  <c r="BO7" i="151"/>
  <c r="BP7" i="151"/>
  <c r="BP19" i="151" s="1"/>
  <c r="BQ7" i="151"/>
  <c r="BR7" i="151"/>
  <c r="BS7" i="151"/>
  <c r="BT7" i="151"/>
  <c r="BU7" i="151"/>
  <c r="BV7" i="151"/>
  <c r="BW7" i="151"/>
  <c r="BX7" i="151"/>
  <c r="BX19" i="151" s="1"/>
  <c r="BY7" i="151"/>
  <c r="BZ7" i="151"/>
  <c r="CA7" i="151"/>
  <c r="CB7" i="151"/>
  <c r="CC7" i="151"/>
  <c r="CD7" i="151"/>
  <c r="CE7" i="151"/>
  <c r="CF7" i="151"/>
  <c r="CF19" i="151" s="1"/>
  <c r="CG7" i="151"/>
  <c r="CH7" i="151"/>
  <c r="CI7" i="151"/>
  <c r="CJ7" i="151"/>
  <c r="CK7" i="151"/>
  <c r="CL7" i="151"/>
  <c r="CM7" i="151"/>
  <c r="CN7" i="151"/>
  <c r="CN19" i="151" s="1"/>
  <c r="CO7" i="151"/>
  <c r="CP7" i="151"/>
  <c r="CQ7" i="151"/>
  <c r="CR7" i="151"/>
  <c r="CS7" i="151"/>
  <c r="BB8" i="151"/>
  <c r="BC8" i="151"/>
  <c r="BD8" i="151"/>
  <c r="BD20" i="151" s="1"/>
  <c r="BE8" i="151"/>
  <c r="BF8" i="151"/>
  <c r="BG8" i="151"/>
  <c r="BH8" i="151"/>
  <c r="BI8" i="151"/>
  <c r="BJ8" i="151"/>
  <c r="BK8" i="151"/>
  <c r="BL8" i="151"/>
  <c r="BL20" i="151" s="1"/>
  <c r="BM8" i="151"/>
  <c r="BN8" i="151"/>
  <c r="BO8" i="151"/>
  <c r="BP8" i="151"/>
  <c r="BQ8" i="151"/>
  <c r="BR8" i="151"/>
  <c r="BS8" i="151"/>
  <c r="BT8" i="151"/>
  <c r="BT20" i="151" s="1"/>
  <c r="BU8" i="151"/>
  <c r="BV8" i="151"/>
  <c r="BW8" i="151"/>
  <c r="BX8" i="151"/>
  <c r="BY8" i="151"/>
  <c r="BZ8" i="151"/>
  <c r="CA8" i="151"/>
  <c r="CB8" i="151"/>
  <c r="CB20" i="151" s="1"/>
  <c r="CC8" i="151"/>
  <c r="CD8" i="151"/>
  <c r="CE8" i="151"/>
  <c r="CF8" i="151"/>
  <c r="CG8" i="151"/>
  <c r="CH8" i="151"/>
  <c r="CI8" i="151"/>
  <c r="CJ8" i="151"/>
  <c r="CJ20" i="151" s="1"/>
  <c r="CK8" i="151"/>
  <c r="CL8" i="151"/>
  <c r="CM8" i="151"/>
  <c r="CN8" i="151"/>
  <c r="CO8" i="151"/>
  <c r="CP8" i="151"/>
  <c r="CQ8" i="151"/>
  <c r="CR8" i="151"/>
  <c r="CR20" i="151" s="1"/>
  <c r="CS8" i="151"/>
  <c r="BB9" i="151"/>
  <c r="BC9" i="151"/>
  <c r="BD9" i="151"/>
  <c r="BE9" i="151"/>
  <c r="BF9" i="151"/>
  <c r="BG9" i="151"/>
  <c r="BH9" i="151"/>
  <c r="BH21" i="151" s="1"/>
  <c r="BI9" i="151"/>
  <c r="BJ9" i="151"/>
  <c r="BK9" i="151"/>
  <c r="BL9" i="151"/>
  <c r="BM9" i="151"/>
  <c r="BN9" i="151"/>
  <c r="BO9" i="151"/>
  <c r="BP9" i="151"/>
  <c r="BP21" i="151" s="1"/>
  <c r="BQ9" i="151"/>
  <c r="BR9" i="151"/>
  <c r="BS9" i="151"/>
  <c r="BT9" i="151"/>
  <c r="BU9" i="151"/>
  <c r="BV9" i="151"/>
  <c r="BW9" i="151"/>
  <c r="BX9" i="151"/>
  <c r="BX21" i="151" s="1"/>
  <c r="BY9" i="151"/>
  <c r="BZ9" i="151"/>
  <c r="CA9" i="151"/>
  <c r="CB9" i="151"/>
  <c r="CC9" i="151"/>
  <c r="CD9" i="151"/>
  <c r="CE9" i="151"/>
  <c r="CF9" i="151"/>
  <c r="CF21" i="151" s="1"/>
  <c r="CG9" i="151"/>
  <c r="CH9" i="151"/>
  <c r="CI9" i="151"/>
  <c r="CJ9" i="151"/>
  <c r="CK9" i="151"/>
  <c r="CL9" i="151"/>
  <c r="CM9" i="151"/>
  <c r="CN9" i="151"/>
  <c r="CN21" i="151" s="1"/>
  <c r="CO9" i="151"/>
  <c r="CP9" i="151"/>
  <c r="CQ9" i="151"/>
  <c r="CR9" i="151"/>
  <c r="CS9" i="151"/>
  <c r="BB10" i="151"/>
  <c r="BC10" i="151"/>
  <c r="BD10" i="151"/>
  <c r="BD22" i="151" s="1"/>
  <c r="BE10" i="151"/>
  <c r="BF10" i="151"/>
  <c r="BG10" i="151"/>
  <c r="BH10" i="151"/>
  <c r="BI10" i="151"/>
  <c r="BJ10" i="151"/>
  <c r="BK10" i="151"/>
  <c r="BL10" i="151"/>
  <c r="BL22" i="151" s="1"/>
  <c r="BM10" i="151"/>
  <c r="BN10" i="151"/>
  <c r="BO10" i="151"/>
  <c r="BP10" i="151"/>
  <c r="BQ10" i="151"/>
  <c r="BR10" i="151"/>
  <c r="BS10" i="151"/>
  <c r="BT10" i="151"/>
  <c r="BT22" i="151" s="1"/>
  <c r="BU10" i="151"/>
  <c r="BV10" i="151"/>
  <c r="BW10" i="151"/>
  <c r="BX10" i="151"/>
  <c r="BY10" i="151"/>
  <c r="BZ10" i="151"/>
  <c r="CA10" i="151"/>
  <c r="CB10" i="151"/>
  <c r="CB22" i="151" s="1"/>
  <c r="CC10" i="151"/>
  <c r="CD10" i="151"/>
  <c r="CE10" i="151"/>
  <c r="CF10" i="151"/>
  <c r="CG10" i="151"/>
  <c r="CH10" i="151"/>
  <c r="CI10" i="151"/>
  <c r="CJ10" i="151"/>
  <c r="CJ22" i="151" s="1"/>
  <c r="CK10" i="151"/>
  <c r="CL10" i="151"/>
  <c r="CM10" i="151"/>
  <c r="CN10" i="151"/>
  <c r="CO10" i="151"/>
  <c r="CP10" i="151"/>
  <c r="CQ10" i="151"/>
  <c r="CR10" i="151"/>
  <c r="CR22" i="151" s="1"/>
  <c r="CS10" i="151"/>
  <c r="BB11" i="151"/>
  <c r="BC11" i="151"/>
  <c r="BD11" i="151"/>
  <c r="BE11" i="151"/>
  <c r="BF11" i="151"/>
  <c r="BG11" i="151"/>
  <c r="BH11" i="151"/>
  <c r="BH23" i="151" s="1"/>
  <c r="BI11" i="151"/>
  <c r="BJ11" i="151"/>
  <c r="BK11" i="151"/>
  <c r="BL11" i="151"/>
  <c r="BM11" i="151"/>
  <c r="BN11" i="151"/>
  <c r="BO11" i="151"/>
  <c r="BP11" i="151"/>
  <c r="BP23" i="151" s="1"/>
  <c r="BQ11" i="151"/>
  <c r="BR11" i="151"/>
  <c r="BS11" i="151"/>
  <c r="BT11" i="151"/>
  <c r="BU11" i="151"/>
  <c r="BV11" i="151"/>
  <c r="BW11" i="151"/>
  <c r="BX11" i="151"/>
  <c r="BX23" i="151" s="1"/>
  <c r="BY11" i="151"/>
  <c r="BZ11" i="151"/>
  <c r="CA11" i="151"/>
  <c r="CB11" i="151"/>
  <c r="CC11" i="151"/>
  <c r="CD11" i="151"/>
  <c r="CE11" i="151"/>
  <c r="CF11" i="151"/>
  <c r="CF23" i="151" s="1"/>
  <c r="CG11" i="151"/>
  <c r="CH11" i="151"/>
  <c r="CI11" i="151"/>
  <c r="CJ11" i="151"/>
  <c r="CK11" i="151"/>
  <c r="CL11" i="151"/>
  <c r="CM11" i="151"/>
  <c r="CN11" i="151"/>
  <c r="CN23" i="151" s="1"/>
  <c r="CO11" i="151"/>
  <c r="CP11" i="151"/>
  <c r="CQ11" i="151"/>
  <c r="CR11" i="151"/>
  <c r="CS11" i="151"/>
  <c r="BB12" i="151"/>
  <c r="BC12" i="151"/>
  <c r="BD12" i="151"/>
  <c r="CU12" i="151" s="1"/>
  <c r="BE12" i="151"/>
  <c r="BF12" i="151"/>
  <c r="BG12" i="151"/>
  <c r="BH12" i="151"/>
  <c r="BI12" i="151"/>
  <c r="BJ12" i="151"/>
  <c r="BK12" i="151"/>
  <c r="BL12" i="151"/>
  <c r="BL24" i="151" s="1"/>
  <c r="BM12" i="151"/>
  <c r="BN12" i="151"/>
  <c r="BO12" i="151"/>
  <c r="BP12" i="151"/>
  <c r="BQ12" i="151"/>
  <c r="BR12" i="151"/>
  <c r="BS12" i="151"/>
  <c r="BT12" i="151"/>
  <c r="BT24" i="151" s="1"/>
  <c r="BU12" i="151"/>
  <c r="BV12" i="151"/>
  <c r="BW12" i="151"/>
  <c r="BX12" i="151"/>
  <c r="BY12" i="151"/>
  <c r="BZ12" i="151"/>
  <c r="CA12" i="151"/>
  <c r="CB12" i="151"/>
  <c r="CB24" i="151" s="1"/>
  <c r="CC12" i="151"/>
  <c r="CD12" i="151"/>
  <c r="CE12" i="151"/>
  <c r="CF12" i="151"/>
  <c r="CG12" i="151"/>
  <c r="CH12" i="151"/>
  <c r="CI12" i="151"/>
  <c r="CJ12" i="151"/>
  <c r="CJ24" i="151" s="1"/>
  <c r="CK12" i="151"/>
  <c r="CL12" i="151"/>
  <c r="CM12" i="151"/>
  <c r="CN12" i="151"/>
  <c r="CO12" i="151"/>
  <c r="CP12" i="151"/>
  <c r="CQ12" i="151"/>
  <c r="CR12" i="151"/>
  <c r="CR24" i="151" s="1"/>
  <c r="CS12" i="151"/>
  <c r="BB13" i="151"/>
  <c r="BC13" i="151"/>
  <c r="BD13" i="151"/>
  <c r="BE13" i="151"/>
  <c r="BF13" i="151"/>
  <c r="BG13" i="151"/>
  <c r="BH13" i="151"/>
  <c r="BH25" i="151" s="1"/>
  <c r="BI13" i="151"/>
  <c r="BJ13" i="151"/>
  <c r="BK13" i="151"/>
  <c r="BL13" i="151"/>
  <c r="BM13" i="151"/>
  <c r="BN13" i="151"/>
  <c r="BO13" i="151"/>
  <c r="BP13" i="151"/>
  <c r="BP25" i="151" s="1"/>
  <c r="BQ13" i="151"/>
  <c r="BR13" i="151"/>
  <c r="BS13" i="151"/>
  <c r="BT13" i="151"/>
  <c r="BU13" i="151"/>
  <c r="BV13" i="151"/>
  <c r="BW13" i="151"/>
  <c r="BX13" i="151"/>
  <c r="BX25" i="151" s="1"/>
  <c r="BY13" i="151"/>
  <c r="BZ13" i="151"/>
  <c r="CA13" i="151"/>
  <c r="CB13" i="151"/>
  <c r="CC13" i="151"/>
  <c r="CD13" i="151"/>
  <c r="CE13" i="151"/>
  <c r="CF13" i="151"/>
  <c r="CF25" i="151" s="1"/>
  <c r="CG13" i="151"/>
  <c r="CH13" i="151"/>
  <c r="CI13" i="151"/>
  <c r="CJ13" i="151"/>
  <c r="CK13" i="151"/>
  <c r="CL13" i="151"/>
  <c r="CM13" i="151"/>
  <c r="CN13" i="151"/>
  <c r="CN25" i="151" s="1"/>
  <c r="CO13" i="151"/>
  <c r="CP13" i="151"/>
  <c r="CQ13" i="151"/>
  <c r="CR13" i="151"/>
  <c r="CS13" i="151"/>
  <c r="CS2" i="151"/>
  <c r="CS14" i="151"/>
  <c r="CR2" i="151"/>
  <c r="CQ2" i="151"/>
  <c r="CQ27" i="151" s="1"/>
  <c r="CQ28" i="151" s="1"/>
  <c r="CQ29" i="151" s="1"/>
  <c r="CP2" i="151"/>
  <c r="CO2" i="151"/>
  <c r="CN2" i="151"/>
  <c r="CM2" i="151"/>
  <c r="CL2" i="151"/>
  <c r="CK2" i="151"/>
  <c r="CJ2" i="151"/>
  <c r="CI2" i="151"/>
  <c r="CH2" i="151"/>
  <c r="CH27" i="151" s="1"/>
  <c r="CH28" i="151" s="1"/>
  <c r="CH29" i="151" s="1"/>
  <c r="CG2" i="151"/>
  <c r="CF2" i="151"/>
  <c r="CE2" i="151"/>
  <c r="CD2" i="151"/>
  <c r="CD27" i="151" s="1"/>
  <c r="CD28" i="151" s="1"/>
  <c r="CD29" i="151" s="1"/>
  <c r="CC2" i="151"/>
  <c r="CC27" i="151" s="1"/>
  <c r="CC28" i="151" s="1"/>
  <c r="CC29" i="151" s="1"/>
  <c r="CB2" i="151"/>
  <c r="CA2" i="151"/>
  <c r="CA27" i="151" s="1"/>
  <c r="CA28" i="151" s="1"/>
  <c r="CA29" i="151" s="1"/>
  <c r="BZ2" i="151"/>
  <c r="BY2" i="151"/>
  <c r="BX2" i="151"/>
  <c r="BW2" i="151"/>
  <c r="BV2" i="151"/>
  <c r="BU2" i="151"/>
  <c r="BT2" i="151"/>
  <c r="BT27" i="151" s="1"/>
  <c r="BT28" i="151" s="1"/>
  <c r="BT29" i="151" s="1"/>
  <c r="BS2" i="151"/>
  <c r="BS27" i="151" s="1"/>
  <c r="BS28" i="151" s="1"/>
  <c r="BS29" i="151" s="1"/>
  <c r="BR2" i="151"/>
  <c r="BR27" i="151" s="1"/>
  <c r="BR28" i="151" s="1"/>
  <c r="BR29" i="151" s="1"/>
  <c r="BQ2" i="151"/>
  <c r="BQ27" i="151" s="1"/>
  <c r="BQ28" i="151" s="1"/>
  <c r="BQ29" i="151" s="1"/>
  <c r="BP2" i="151"/>
  <c r="BO2" i="151"/>
  <c r="BN2" i="151"/>
  <c r="BM2" i="151"/>
  <c r="BL2" i="151"/>
  <c r="BK2" i="151"/>
  <c r="BK27" i="151" s="1"/>
  <c r="BK28" i="151" s="1"/>
  <c r="BK29" i="151" s="1"/>
  <c r="BJ2" i="151"/>
  <c r="BI2" i="151"/>
  <c r="BH2" i="151"/>
  <c r="BG2" i="151"/>
  <c r="BF2" i="151"/>
  <c r="BF27" i="151" s="1"/>
  <c r="BF28" i="151" s="1"/>
  <c r="BF29" i="151" s="1"/>
  <c r="BE2" i="151"/>
  <c r="BD2" i="151"/>
  <c r="BD27" i="151" s="1"/>
  <c r="BD28" i="151" s="1"/>
  <c r="BD29" i="151" s="1"/>
  <c r="BC2" i="151"/>
  <c r="BC27" i="151" s="1"/>
  <c r="BC28" i="151" s="1"/>
  <c r="BC29" i="151" s="1"/>
  <c r="BB2" i="151"/>
  <c r="H3" i="151"/>
  <c r="I3" i="151"/>
  <c r="J3" i="151"/>
  <c r="K3" i="151"/>
  <c r="L3" i="151"/>
  <c r="L27" i="151" s="1"/>
  <c r="L28" i="151" s="1"/>
  <c r="L29" i="151" s="1"/>
  <c r="M3" i="151"/>
  <c r="N3" i="151"/>
  <c r="O3" i="151"/>
  <c r="P3" i="151"/>
  <c r="Q3" i="151"/>
  <c r="R3" i="151"/>
  <c r="S3" i="151"/>
  <c r="T3" i="151"/>
  <c r="T15" i="151" s="1"/>
  <c r="U3" i="151"/>
  <c r="V3" i="151"/>
  <c r="W3" i="151"/>
  <c r="X3" i="151"/>
  <c r="Y3" i="151"/>
  <c r="Z3" i="151"/>
  <c r="AA3" i="151"/>
  <c r="AB3" i="151"/>
  <c r="AB15" i="151" s="1"/>
  <c r="AC3" i="151"/>
  <c r="AD3" i="151"/>
  <c r="AE3" i="151"/>
  <c r="AE27" i="151" s="1"/>
  <c r="AE28" i="151" s="1"/>
  <c r="AE29" i="151" s="1"/>
  <c r="AF3" i="151"/>
  <c r="AG3" i="151"/>
  <c r="AH3" i="151"/>
  <c r="AI3" i="151"/>
  <c r="AJ3" i="151"/>
  <c r="AJ15" i="151" s="1"/>
  <c r="AK3" i="151"/>
  <c r="AL3" i="151"/>
  <c r="AM3" i="151"/>
  <c r="AN3" i="151"/>
  <c r="AO3" i="151"/>
  <c r="AP3" i="151"/>
  <c r="AQ3" i="151"/>
  <c r="AR3" i="151"/>
  <c r="AR15" i="151" s="1"/>
  <c r="AS3" i="151"/>
  <c r="AT3" i="151"/>
  <c r="AU3" i="151"/>
  <c r="AU27" i="151" s="1"/>
  <c r="AU28" i="151" s="1"/>
  <c r="AU29" i="151" s="1"/>
  <c r="AV3" i="151"/>
  <c r="AW3" i="151"/>
  <c r="AX3" i="151"/>
  <c r="AY3" i="151"/>
  <c r="AZ3" i="151"/>
  <c r="AZ15" i="151" s="1"/>
  <c r="BA3" i="151"/>
  <c r="H4" i="151"/>
  <c r="I4" i="151"/>
  <c r="I27" i="151" s="1"/>
  <c r="I28" i="151" s="1"/>
  <c r="I29" i="151" s="1"/>
  <c r="J4" i="151"/>
  <c r="K4" i="151"/>
  <c r="L4" i="151"/>
  <c r="M4" i="151"/>
  <c r="N4" i="151"/>
  <c r="N27" i="151" s="1"/>
  <c r="N28" i="151" s="1"/>
  <c r="N29" i="151" s="1"/>
  <c r="O4" i="151"/>
  <c r="P4" i="151"/>
  <c r="Q4" i="151"/>
  <c r="Q16" i="151" s="1"/>
  <c r="R4" i="151"/>
  <c r="S4" i="151"/>
  <c r="T4" i="151"/>
  <c r="U4" i="151"/>
  <c r="V4" i="151"/>
  <c r="V16" i="151" s="1"/>
  <c r="W4" i="151"/>
  <c r="X4" i="151"/>
  <c r="Y4" i="151"/>
  <c r="Y27" i="151" s="1"/>
  <c r="Y28" i="151" s="1"/>
  <c r="Y29" i="151" s="1"/>
  <c r="Z4" i="151"/>
  <c r="AA4" i="151"/>
  <c r="AB4" i="151"/>
  <c r="AC4" i="151"/>
  <c r="AD4" i="151"/>
  <c r="AD16" i="151" s="1"/>
  <c r="AE4" i="151"/>
  <c r="AF4" i="151"/>
  <c r="AG4" i="151"/>
  <c r="AG27" i="151" s="1"/>
  <c r="AG28" i="151" s="1"/>
  <c r="AG29" i="151" s="1"/>
  <c r="AH4" i="151"/>
  <c r="AI4" i="151"/>
  <c r="AJ4" i="151"/>
  <c r="AK4" i="151"/>
  <c r="AL4" i="151"/>
  <c r="AL16" i="151" s="1"/>
  <c r="AM4" i="151"/>
  <c r="AN4" i="151"/>
  <c r="AO4" i="151"/>
  <c r="AO16" i="151" s="1"/>
  <c r="AP4" i="151"/>
  <c r="AQ4" i="151"/>
  <c r="AR4" i="151"/>
  <c r="AS4" i="151"/>
  <c r="AT4" i="151"/>
  <c r="AT16" i="151" s="1"/>
  <c r="AU4" i="151"/>
  <c r="AV4" i="151"/>
  <c r="AW4" i="151"/>
  <c r="AW16" i="151" s="1"/>
  <c r="AX4" i="151"/>
  <c r="AY4" i="151"/>
  <c r="AZ4" i="151"/>
  <c r="BA4" i="151"/>
  <c r="H5" i="151"/>
  <c r="H17" i="151" s="1"/>
  <c r="I5" i="151"/>
  <c r="J5" i="151"/>
  <c r="K5" i="151"/>
  <c r="K17" i="151" s="1"/>
  <c r="L5" i="151"/>
  <c r="M5" i="151"/>
  <c r="N5" i="151"/>
  <c r="O5" i="151"/>
  <c r="P5" i="151"/>
  <c r="P17" i="151" s="1"/>
  <c r="Q5" i="151"/>
  <c r="R5" i="151"/>
  <c r="S5" i="151"/>
  <c r="S17" i="151" s="1"/>
  <c r="T5" i="151"/>
  <c r="U5" i="151"/>
  <c r="V5" i="151"/>
  <c r="W5" i="151"/>
  <c r="X5" i="151"/>
  <c r="X17" i="151" s="1"/>
  <c r="Y5" i="151"/>
  <c r="Z5" i="151"/>
  <c r="AA5" i="151"/>
  <c r="AA17" i="151" s="1"/>
  <c r="AB5" i="151"/>
  <c r="AC5" i="151"/>
  <c r="AD5" i="151"/>
  <c r="AE5" i="151"/>
  <c r="AF5" i="151"/>
  <c r="AF17" i="151" s="1"/>
  <c r="AG5" i="151"/>
  <c r="AH5" i="151"/>
  <c r="AI5" i="151"/>
  <c r="AI27" i="151" s="1"/>
  <c r="AI28" i="151" s="1"/>
  <c r="AI29" i="151" s="1"/>
  <c r="AJ5" i="151"/>
  <c r="AK5" i="151"/>
  <c r="AL5" i="151"/>
  <c r="AM5" i="151"/>
  <c r="AN5" i="151"/>
  <c r="AN17" i="151" s="1"/>
  <c r="AO5" i="151"/>
  <c r="AP5" i="151"/>
  <c r="AQ5" i="151"/>
  <c r="AQ17" i="151" s="1"/>
  <c r="AR5" i="151"/>
  <c r="AS5" i="151"/>
  <c r="AT5" i="151"/>
  <c r="AU5" i="151"/>
  <c r="AV5" i="151"/>
  <c r="AV17" i="151" s="1"/>
  <c r="AW5" i="151"/>
  <c r="AX5" i="151"/>
  <c r="AY5" i="151"/>
  <c r="AY27" i="151" s="1"/>
  <c r="AY28" i="151" s="1"/>
  <c r="AY29" i="151" s="1"/>
  <c r="AZ5" i="151"/>
  <c r="BA5" i="151"/>
  <c r="H6" i="151"/>
  <c r="I6" i="151"/>
  <c r="J6" i="151"/>
  <c r="K6" i="151"/>
  <c r="L6" i="151"/>
  <c r="M6" i="151"/>
  <c r="N6" i="151"/>
  <c r="O6" i="151"/>
  <c r="P6" i="151"/>
  <c r="Q6" i="151"/>
  <c r="R6" i="151"/>
  <c r="R27" i="151" s="1"/>
  <c r="R28" i="151" s="1"/>
  <c r="R29" i="151" s="1"/>
  <c r="S6" i="151"/>
  <c r="T6" i="151"/>
  <c r="U6" i="151"/>
  <c r="U27" i="151" s="1"/>
  <c r="U28" i="151" s="1"/>
  <c r="U29" i="151" s="1"/>
  <c r="V6" i="151"/>
  <c r="W6" i="151"/>
  <c r="X6" i="151"/>
  <c r="Y6" i="151"/>
  <c r="Z6" i="151"/>
  <c r="AA6" i="151"/>
  <c r="AB6" i="151"/>
  <c r="AC6" i="151"/>
  <c r="AD6" i="151"/>
  <c r="AE6" i="151"/>
  <c r="AF6" i="151"/>
  <c r="AG6" i="151"/>
  <c r="AH6" i="151"/>
  <c r="AI6" i="151"/>
  <c r="AJ6" i="151"/>
  <c r="AK6" i="151"/>
  <c r="AL6" i="151"/>
  <c r="AM6" i="151"/>
  <c r="AN6" i="151"/>
  <c r="AO6" i="151"/>
  <c r="AP6" i="151"/>
  <c r="AP27" i="151" s="1"/>
  <c r="AP28" i="151" s="1"/>
  <c r="AP29" i="151" s="1"/>
  <c r="AQ6" i="151"/>
  <c r="AR6" i="151"/>
  <c r="AS6" i="151"/>
  <c r="AT6" i="151"/>
  <c r="AU6" i="151"/>
  <c r="AV6" i="151"/>
  <c r="AW6" i="151"/>
  <c r="AX6" i="151"/>
  <c r="AY6" i="151"/>
  <c r="AZ6" i="151"/>
  <c r="BA6" i="151"/>
  <c r="BA27" i="151" s="1"/>
  <c r="BA28" i="151" s="1"/>
  <c r="BA29" i="151" s="1"/>
  <c r="H7" i="151"/>
  <c r="I7" i="151"/>
  <c r="J7" i="151"/>
  <c r="K7" i="151"/>
  <c r="L7" i="151"/>
  <c r="L19" i="151" s="1"/>
  <c r="M7" i="151"/>
  <c r="N7" i="151"/>
  <c r="O7" i="151"/>
  <c r="O19" i="151" s="1"/>
  <c r="P7" i="151"/>
  <c r="Q7" i="151"/>
  <c r="R7" i="151"/>
  <c r="S7" i="151"/>
  <c r="T7" i="151"/>
  <c r="T19" i="151" s="1"/>
  <c r="U7" i="151"/>
  <c r="V7" i="151"/>
  <c r="W7" i="151"/>
  <c r="W19" i="151" s="1"/>
  <c r="X7" i="151"/>
  <c r="Y7" i="151"/>
  <c r="Z7" i="151"/>
  <c r="AA7" i="151"/>
  <c r="AB7" i="151"/>
  <c r="AB19" i="151" s="1"/>
  <c r="AC7" i="151"/>
  <c r="AD7" i="151"/>
  <c r="AE7" i="151"/>
  <c r="AE19" i="151" s="1"/>
  <c r="AF7" i="151"/>
  <c r="AG7" i="151"/>
  <c r="AH7" i="151"/>
  <c r="AI7" i="151"/>
  <c r="AJ7" i="151"/>
  <c r="AJ19" i="151" s="1"/>
  <c r="AK7" i="151"/>
  <c r="AL7" i="151"/>
  <c r="AM7" i="151"/>
  <c r="AM19" i="151" s="1"/>
  <c r="AN7" i="151"/>
  <c r="AO7" i="151"/>
  <c r="AP7" i="151"/>
  <c r="AQ7" i="151"/>
  <c r="AR7" i="151"/>
  <c r="AR19" i="151" s="1"/>
  <c r="AS7" i="151"/>
  <c r="AT7" i="151"/>
  <c r="AU7" i="151"/>
  <c r="AU19" i="151" s="1"/>
  <c r="AV7" i="151"/>
  <c r="AW7" i="151"/>
  <c r="AX7" i="151"/>
  <c r="AY7" i="151"/>
  <c r="AZ7" i="151"/>
  <c r="AZ19" i="151" s="1"/>
  <c r="BA7" i="151"/>
  <c r="H8" i="151"/>
  <c r="I8" i="151"/>
  <c r="I20" i="151" s="1"/>
  <c r="J8" i="151"/>
  <c r="K8" i="151"/>
  <c r="L8" i="151"/>
  <c r="M8" i="151"/>
  <c r="N8" i="151"/>
  <c r="N20" i="151" s="1"/>
  <c r="O8" i="151"/>
  <c r="P8" i="151"/>
  <c r="Q8" i="151"/>
  <c r="Q20" i="151" s="1"/>
  <c r="R8" i="151"/>
  <c r="S8" i="151"/>
  <c r="T8" i="151"/>
  <c r="U8" i="151"/>
  <c r="V8" i="151"/>
  <c r="V20" i="151" s="1"/>
  <c r="W8" i="151"/>
  <c r="X8" i="151"/>
  <c r="Y8" i="151"/>
  <c r="Y20" i="151" s="1"/>
  <c r="Z8" i="151"/>
  <c r="AA8" i="151"/>
  <c r="AB8" i="151"/>
  <c r="AC8" i="151"/>
  <c r="AD8" i="151"/>
  <c r="AD20" i="151" s="1"/>
  <c r="AE8" i="151"/>
  <c r="AF8" i="151"/>
  <c r="AG8" i="151"/>
  <c r="AG20" i="151" s="1"/>
  <c r="AH8" i="151"/>
  <c r="AI8" i="151"/>
  <c r="AJ8" i="151"/>
  <c r="AK8" i="151"/>
  <c r="AL8" i="151"/>
  <c r="AL20" i="151" s="1"/>
  <c r="AM8" i="151"/>
  <c r="AN8" i="151"/>
  <c r="AO8" i="151"/>
  <c r="AO20" i="151" s="1"/>
  <c r="AP8" i="151"/>
  <c r="AQ8" i="151"/>
  <c r="AR8" i="151"/>
  <c r="AS8" i="151"/>
  <c r="AT8" i="151"/>
  <c r="AT20" i="151" s="1"/>
  <c r="AU8" i="151"/>
  <c r="AV8" i="151"/>
  <c r="AW8" i="151"/>
  <c r="AW20" i="151" s="1"/>
  <c r="AX8" i="151"/>
  <c r="AY8" i="151"/>
  <c r="AZ8" i="151"/>
  <c r="BA8" i="151"/>
  <c r="H9" i="151"/>
  <c r="H21" i="151" s="1"/>
  <c r="I9" i="151"/>
  <c r="J9" i="151"/>
  <c r="K9" i="151"/>
  <c r="K21" i="151" s="1"/>
  <c r="L9" i="151"/>
  <c r="M9" i="151"/>
  <c r="N9" i="151"/>
  <c r="O9" i="151"/>
  <c r="P9" i="151"/>
  <c r="P21" i="151" s="1"/>
  <c r="Q9" i="151"/>
  <c r="R9" i="151"/>
  <c r="S9" i="151"/>
  <c r="S21" i="151" s="1"/>
  <c r="T9" i="151"/>
  <c r="U9" i="151"/>
  <c r="V9" i="151"/>
  <c r="W9" i="151"/>
  <c r="X9" i="151"/>
  <c r="X21" i="151" s="1"/>
  <c r="Y9" i="151"/>
  <c r="Z9" i="151"/>
  <c r="AA9" i="151"/>
  <c r="AA21" i="151" s="1"/>
  <c r="AB9" i="151"/>
  <c r="AC9" i="151"/>
  <c r="AD9" i="151"/>
  <c r="AE9" i="151"/>
  <c r="AF9" i="151"/>
  <c r="AF21" i="151" s="1"/>
  <c r="AG9" i="151"/>
  <c r="AH9" i="151"/>
  <c r="AI9" i="151"/>
  <c r="AI21" i="151" s="1"/>
  <c r="AJ9" i="151"/>
  <c r="AK9" i="151"/>
  <c r="AL9" i="151"/>
  <c r="AM9" i="151"/>
  <c r="AN9" i="151"/>
  <c r="AN21" i="151" s="1"/>
  <c r="AO9" i="151"/>
  <c r="AP9" i="151"/>
  <c r="AQ9" i="151"/>
  <c r="AQ21" i="151" s="1"/>
  <c r="AR9" i="151"/>
  <c r="AS9" i="151"/>
  <c r="AT9" i="151"/>
  <c r="AU9" i="151"/>
  <c r="AV9" i="151"/>
  <c r="AV21" i="151" s="1"/>
  <c r="AW9" i="151"/>
  <c r="AX9" i="151"/>
  <c r="AY9" i="151"/>
  <c r="AY21" i="151" s="1"/>
  <c r="AZ9" i="151"/>
  <c r="BA9" i="151"/>
  <c r="H10" i="151"/>
  <c r="I10" i="151"/>
  <c r="J10" i="151"/>
  <c r="J22" i="151" s="1"/>
  <c r="K10" i="151"/>
  <c r="L10" i="151"/>
  <c r="M10" i="151"/>
  <c r="M22" i="151" s="1"/>
  <c r="N10" i="151"/>
  <c r="O10" i="151"/>
  <c r="P10" i="151"/>
  <c r="Q10" i="151"/>
  <c r="R10" i="151"/>
  <c r="R22" i="151" s="1"/>
  <c r="S10" i="151"/>
  <c r="T10" i="151"/>
  <c r="U10" i="151"/>
  <c r="U22" i="151" s="1"/>
  <c r="V10" i="151"/>
  <c r="W10" i="151"/>
  <c r="X10" i="151"/>
  <c r="Y10" i="151"/>
  <c r="Z10" i="151"/>
  <c r="Z22" i="151" s="1"/>
  <c r="AA10" i="151"/>
  <c r="AB10" i="151"/>
  <c r="AC10" i="151"/>
  <c r="AC22" i="151" s="1"/>
  <c r="AD10" i="151"/>
  <c r="AE10" i="151"/>
  <c r="AF10" i="151"/>
  <c r="AG10" i="151"/>
  <c r="AH10" i="151"/>
  <c r="AH22" i="151" s="1"/>
  <c r="AI10" i="151"/>
  <c r="AJ10" i="151"/>
  <c r="AK10" i="151"/>
  <c r="AK27" i="151" s="1"/>
  <c r="AK28" i="151" s="1"/>
  <c r="AK29" i="151" s="1"/>
  <c r="AL10" i="151"/>
  <c r="AM10" i="151"/>
  <c r="AN10" i="151"/>
  <c r="AO10" i="151"/>
  <c r="AP10" i="151"/>
  <c r="AP22" i="151" s="1"/>
  <c r="AQ10" i="151"/>
  <c r="AR10" i="151"/>
  <c r="AS10" i="151"/>
  <c r="AS22" i="151" s="1"/>
  <c r="AT10" i="151"/>
  <c r="AU10" i="151"/>
  <c r="AV10" i="151"/>
  <c r="AW10" i="151"/>
  <c r="AX10" i="151"/>
  <c r="AX22" i="151" s="1"/>
  <c r="AY10" i="151"/>
  <c r="AZ10" i="151"/>
  <c r="BA10" i="151"/>
  <c r="BA22" i="151" s="1"/>
  <c r="H11" i="151"/>
  <c r="I11" i="151"/>
  <c r="J11" i="151"/>
  <c r="K11" i="151"/>
  <c r="L11" i="151"/>
  <c r="M11" i="151"/>
  <c r="N11" i="151"/>
  <c r="O11" i="151"/>
  <c r="O23" i="151" s="1"/>
  <c r="P11" i="151"/>
  <c r="Q11" i="151"/>
  <c r="R11" i="151"/>
  <c r="S11" i="151"/>
  <c r="T11" i="151"/>
  <c r="U11" i="151"/>
  <c r="V11" i="151"/>
  <c r="W11" i="151"/>
  <c r="W23" i="151" s="1"/>
  <c r="X11" i="151"/>
  <c r="Y11" i="151"/>
  <c r="Z11" i="151"/>
  <c r="AA11" i="151"/>
  <c r="AB11" i="151"/>
  <c r="AC11" i="151"/>
  <c r="AD11" i="151"/>
  <c r="AE11" i="151"/>
  <c r="AE23" i="151" s="1"/>
  <c r="AF11" i="151"/>
  <c r="AG11" i="151"/>
  <c r="AH11" i="151"/>
  <c r="AI11" i="151"/>
  <c r="AJ11" i="151"/>
  <c r="AK11" i="151"/>
  <c r="AL11" i="151"/>
  <c r="AM11" i="151"/>
  <c r="AM23" i="151" s="1"/>
  <c r="AN11" i="151"/>
  <c r="AO11" i="151"/>
  <c r="AP11" i="151"/>
  <c r="AQ11" i="151"/>
  <c r="AR11" i="151"/>
  <c r="AS11" i="151"/>
  <c r="AT11" i="151"/>
  <c r="AU11" i="151"/>
  <c r="AU23" i="151" s="1"/>
  <c r="AV11" i="151"/>
  <c r="AW11" i="151"/>
  <c r="AX11" i="151"/>
  <c r="AY11" i="151"/>
  <c r="AZ11" i="151"/>
  <c r="BA11" i="151"/>
  <c r="H12" i="151"/>
  <c r="I12" i="151"/>
  <c r="I24" i="151" s="1"/>
  <c r="J12" i="151"/>
  <c r="K12" i="151"/>
  <c r="L12" i="151"/>
  <c r="M12" i="151"/>
  <c r="N12" i="151"/>
  <c r="N24" i="151" s="1"/>
  <c r="O12" i="151"/>
  <c r="P12" i="151"/>
  <c r="Q12" i="151"/>
  <c r="Q24" i="151" s="1"/>
  <c r="R12" i="151"/>
  <c r="S12" i="151"/>
  <c r="T12" i="151"/>
  <c r="U12" i="151"/>
  <c r="V12" i="151"/>
  <c r="V24" i="151" s="1"/>
  <c r="W12" i="151"/>
  <c r="X12" i="151"/>
  <c r="Y12" i="151"/>
  <c r="Y24" i="151" s="1"/>
  <c r="Z12" i="151"/>
  <c r="AA12" i="151"/>
  <c r="AB12" i="151"/>
  <c r="AC12" i="151"/>
  <c r="AD12" i="151"/>
  <c r="AD24" i="151" s="1"/>
  <c r="AE12" i="151"/>
  <c r="AF12" i="151"/>
  <c r="AG12" i="151"/>
  <c r="AG24" i="151" s="1"/>
  <c r="AH12" i="151"/>
  <c r="AI12" i="151"/>
  <c r="AJ12" i="151"/>
  <c r="AK12" i="151"/>
  <c r="AL12" i="151"/>
  <c r="AL24" i="151" s="1"/>
  <c r="AM12" i="151"/>
  <c r="AN12" i="151"/>
  <c r="AO12" i="151"/>
  <c r="AO24" i="151" s="1"/>
  <c r="AP12" i="151"/>
  <c r="AQ12" i="151"/>
  <c r="AR12" i="151"/>
  <c r="AS12" i="151"/>
  <c r="AT12" i="151"/>
  <c r="AT24" i="151" s="1"/>
  <c r="AU12" i="151"/>
  <c r="AV12" i="151"/>
  <c r="AW12" i="151"/>
  <c r="AW24" i="151" s="1"/>
  <c r="AX12" i="151"/>
  <c r="AY12" i="151"/>
  <c r="AZ12" i="151"/>
  <c r="BA12" i="151"/>
  <c r="H13" i="151"/>
  <c r="I13" i="151"/>
  <c r="J13" i="151"/>
  <c r="K13" i="151"/>
  <c r="L13" i="151"/>
  <c r="M13" i="151"/>
  <c r="N13" i="151"/>
  <c r="O13" i="151"/>
  <c r="P13" i="151"/>
  <c r="P25" i="151" s="1"/>
  <c r="Q13" i="151"/>
  <c r="R13" i="151"/>
  <c r="S13" i="151"/>
  <c r="S27" i="151" s="1"/>
  <c r="S28" i="151" s="1"/>
  <c r="S29" i="151" s="1"/>
  <c r="T13" i="151"/>
  <c r="U13" i="151"/>
  <c r="V13" i="151"/>
  <c r="W13" i="151"/>
  <c r="X13" i="151"/>
  <c r="X25" i="151" s="1"/>
  <c r="Y13" i="151"/>
  <c r="Z13" i="151"/>
  <c r="AA13" i="151"/>
  <c r="AB13" i="151"/>
  <c r="AC13" i="151"/>
  <c r="AD13" i="151"/>
  <c r="AE13" i="151"/>
  <c r="AF13" i="151"/>
  <c r="AF25" i="151" s="1"/>
  <c r="AG13" i="151"/>
  <c r="AH13" i="151"/>
  <c r="AI13" i="151"/>
  <c r="AJ13" i="151"/>
  <c r="AK13" i="151"/>
  <c r="AL13" i="151"/>
  <c r="AM13" i="151"/>
  <c r="AN13" i="151"/>
  <c r="AN25" i="151" s="1"/>
  <c r="AO13" i="151"/>
  <c r="AP13" i="151"/>
  <c r="AQ13" i="151"/>
  <c r="AR13" i="151"/>
  <c r="AS13" i="151"/>
  <c r="AT13" i="151"/>
  <c r="AU13" i="151"/>
  <c r="AV13" i="151"/>
  <c r="AV25" i="151" s="1"/>
  <c r="AW13" i="151"/>
  <c r="AX13" i="151"/>
  <c r="AY13" i="151"/>
  <c r="AZ13" i="151"/>
  <c r="BA13" i="151"/>
  <c r="BA2" i="151"/>
  <c r="AZ2" i="151"/>
  <c r="AY2" i="151"/>
  <c r="AX2" i="151"/>
  <c r="AW2" i="151"/>
  <c r="AV2" i="151"/>
  <c r="AV27" i="151" s="1"/>
  <c r="AV28" i="151" s="1"/>
  <c r="AV29" i="151" s="1"/>
  <c r="AU2" i="151"/>
  <c r="AT2" i="151"/>
  <c r="AS2" i="151"/>
  <c r="AR2" i="151"/>
  <c r="AQ2" i="151"/>
  <c r="AP2" i="151"/>
  <c r="AO2" i="151"/>
  <c r="AN2" i="151"/>
  <c r="AN27" i="151" s="1"/>
  <c r="AN28" i="151" s="1"/>
  <c r="AN29" i="151" s="1"/>
  <c r="AM2" i="151"/>
  <c r="AL2" i="151"/>
  <c r="AK2" i="151"/>
  <c r="AJ2" i="151"/>
  <c r="AI2" i="151"/>
  <c r="AH2" i="151"/>
  <c r="AG2" i="151"/>
  <c r="AF2" i="151"/>
  <c r="AF27" i="151" s="1"/>
  <c r="AF28" i="151" s="1"/>
  <c r="AF29" i="151" s="1"/>
  <c r="AE2" i="151"/>
  <c r="AD2" i="151"/>
  <c r="AC2" i="151"/>
  <c r="AB2" i="151"/>
  <c r="AA2" i="151"/>
  <c r="Z2" i="151"/>
  <c r="Y2" i="151"/>
  <c r="X2" i="151"/>
  <c r="X27" i="151" s="1"/>
  <c r="X28" i="151" s="1"/>
  <c r="X29" i="151" s="1"/>
  <c r="W2" i="151"/>
  <c r="V2" i="151"/>
  <c r="U2" i="151"/>
  <c r="T2" i="151"/>
  <c r="S2" i="151"/>
  <c r="R2" i="151"/>
  <c r="Q2" i="151"/>
  <c r="P2" i="151"/>
  <c r="O2" i="151"/>
  <c r="N2" i="151"/>
  <c r="M2" i="151"/>
  <c r="L2" i="151"/>
  <c r="K2" i="151"/>
  <c r="J2" i="151"/>
  <c r="I2" i="151"/>
  <c r="H2" i="151"/>
  <c r="C27" i="151"/>
  <c r="D27" i="151"/>
  <c r="E27" i="151"/>
  <c r="F27" i="151"/>
  <c r="G27" i="151"/>
  <c r="K27" i="151"/>
  <c r="K28" i="151" s="1"/>
  <c r="K29" i="151" s="1"/>
  <c r="AA27" i="151"/>
  <c r="AA28" i="151" s="1"/>
  <c r="AA29" i="151" s="1"/>
  <c r="AS27" i="151"/>
  <c r="AS28" i="151" s="1"/>
  <c r="AS29" i="151" s="1"/>
  <c r="BB27" i="151"/>
  <c r="BE27" i="151"/>
  <c r="BE28" i="151" s="1"/>
  <c r="BE29" i="151" s="1"/>
  <c r="BG27" i="151"/>
  <c r="BI27" i="151"/>
  <c r="BJ27" i="151"/>
  <c r="BL27" i="151"/>
  <c r="BL28" i="151" s="1"/>
  <c r="BL29" i="151" s="1"/>
  <c r="BM27" i="151"/>
  <c r="BM28" i="151" s="1"/>
  <c r="BM29" i="151" s="1"/>
  <c r="BN27" i="151"/>
  <c r="BN28" i="151" s="1"/>
  <c r="BN29" i="151" s="1"/>
  <c r="BO27" i="151"/>
  <c r="BU27" i="151"/>
  <c r="BU28" i="151" s="1"/>
  <c r="BU29" i="151" s="1"/>
  <c r="BV27" i="151"/>
  <c r="BW27" i="151"/>
  <c r="BX27" i="151"/>
  <c r="BX28" i="151" s="1"/>
  <c r="BX29" i="151" s="1"/>
  <c r="BY27" i="151"/>
  <c r="BZ27" i="151"/>
  <c r="BZ28" i="151" s="1"/>
  <c r="BZ29" i="151" s="1"/>
  <c r="CE27" i="151"/>
  <c r="CE28" i="151" s="1"/>
  <c r="CE29" i="151" s="1"/>
  <c r="CG27" i="151"/>
  <c r="CI27" i="151"/>
  <c r="CI28" i="151" s="1"/>
  <c r="CI29" i="151" s="1"/>
  <c r="CJ27" i="151"/>
  <c r="CJ28" i="151" s="1"/>
  <c r="CJ29" i="151" s="1"/>
  <c r="CK27" i="151"/>
  <c r="CK28" i="151" s="1"/>
  <c r="CK29" i="151" s="1"/>
  <c r="CL27" i="151"/>
  <c r="CL28" i="151" s="1"/>
  <c r="CL29" i="151" s="1"/>
  <c r="CM27" i="151"/>
  <c r="CO27" i="151"/>
  <c r="CP27" i="151"/>
  <c r="CS27" i="151"/>
  <c r="CS28" i="151" s="1"/>
  <c r="CS29" i="151" s="1"/>
  <c r="B27" i="151"/>
  <c r="B28" i="151" s="1"/>
  <c r="G3" i="151"/>
  <c r="G4" i="151"/>
  <c r="G5" i="151"/>
  <c r="G6" i="151"/>
  <c r="G7" i="151"/>
  <c r="G8" i="151"/>
  <c r="G9" i="151"/>
  <c r="G10" i="151"/>
  <c r="G22" i="151" s="1"/>
  <c r="G11" i="151"/>
  <c r="G12" i="151"/>
  <c r="G13" i="151"/>
  <c r="G2" i="151"/>
  <c r="F3" i="151"/>
  <c r="F4" i="151"/>
  <c r="F5" i="151"/>
  <c r="F6" i="151"/>
  <c r="F7" i="151"/>
  <c r="F8" i="151"/>
  <c r="F20" i="151" s="1"/>
  <c r="F9" i="151"/>
  <c r="F21" i="151" s="1"/>
  <c r="F10" i="151"/>
  <c r="F22" i="151" s="1"/>
  <c r="F11" i="151"/>
  <c r="F12" i="151"/>
  <c r="F13" i="151"/>
  <c r="F2" i="151"/>
  <c r="E3" i="151"/>
  <c r="E4" i="151"/>
  <c r="E5" i="151"/>
  <c r="E6" i="151"/>
  <c r="E7" i="151"/>
  <c r="E8" i="151"/>
  <c r="E9" i="151"/>
  <c r="E21" i="151" s="1"/>
  <c r="E10" i="151"/>
  <c r="E22" i="151" s="1"/>
  <c r="E11" i="151"/>
  <c r="E12" i="151"/>
  <c r="E13" i="151"/>
  <c r="E2" i="151"/>
  <c r="D3" i="151"/>
  <c r="D4" i="151"/>
  <c r="D5" i="151"/>
  <c r="D6" i="151"/>
  <c r="D7" i="151"/>
  <c r="D8" i="151"/>
  <c r="D9" i="151"/>
  <c r="D21" i="151" s="1"/>
  <c r="D10" i="151"/>
  <c r="D22" i="151" s="1"/>
  <c r="D11" i="151"/>
  <c r="D12" i="151"/>
  <c r="D13" i="151"/>
  <c r="D2" i="151"/>
  <c r="C3" i="151"/>
  <c r="C4" i="151"/>
  <c r="C5" i="151"/>
  <c r="C6" i="151"/>
  <c r="C7" i="151"/>
  <c r="C19" i="151" s="1"/>
  <c r="C8" i="151"/>
  <c r="C9" i="151"/>
  <c r="C10" i="151"/>
  <c r="C22" i="151" s="1"/>
  <c r="C11" i="151"/>
  <c r="C12" i="151"/>
  <c r="C13" i="151"/>
  <c r="C25" i="151" s="1"/>
  <c r="C16" i="151"/>
  <c r="C17" i="151"/>
  <c r="C24" i="151"/>
  <c r="C14" i="151"/>
  <c r="C15" i="151"/>
  <c r="C20" i="151"/>
  <c r="C21" i="151"/>
  <c r="C23" i="151"/>
  <c r="C2" i="151"/>
  <c r="B2" i="151"/>
  <c r="B3" i="151"/>
  <c r="B4" i="151"/>
  <c r="B5" i="151"/>
  <c r="B6" i="151"/>
  <c r="B7" i="151"/>
  <c r="B8" i="151"/>
  <c r="B9" i="151"/>
  <c r="B21" i="151" s="1"/>
  <c r="B10" i="151"/>
  <c r="B11" i="151"/>
  <c r="B12" i="151"/>
  <c r="B13" i="151"/>
  <c r="AH19" i="104"/>
  <c r="AH18" i="104"/>
  <c r="AH17" i="104"/>
  <c r="AH16" i="104"/>
  <c r="AH15" i="104"/>
  <c r="AH14" i="104"/>
  <c r="AH13" i="104"/>
  <c r="AH12" i="104"/>
  <c r="AH11" i="104"/>
  <c r="AH10" i="104"/>
  <c r="AH9" i="104"/>
  <c r="AH8" i="104"/>
  <c r="AH19" i="6"/>
  <c r="AH18" i="6"/>
  <c r="AH17" i="6"/>
  <c r="AH16" i="6"/>
  <c r="AH15" i="6"/>
  <c r="AH14" i="6"/>
  <c r="AH13" i="6"/>
  <c r="AH12" i="6"/>
  <c r="AH11" i="6"/>
  <c r="AH10" i="6"/>
  <c r="AH9" i="6"/>
  <c r="AH8" i="6"/>
  <c r="AH19" i="140"/>
  <c r="AH18" i="140"/>
  <c r="AH17" i="140"/>
  <c r="AH16" i="140"/>
  <c r="AH15" i="140"/>
  <c r="AH14" i="140"/>
  <c r="AH13" i="140"/>
  <c r="AH12" i="140"/>
  <c r="AH11" i="140"/>
  <c r="AH10" i="140"/>
  <c r="AH9" i="140"/>
  <c r="AH8" i="140"/>
  <c r="AH19" i="7"/>
  <c r="AH18" i="7"/>
  <c r="AH17" i="7"/>
  <c r="AH16" i="7"/>
  <c r="AH15" i="7"/>
  <c r="AH14" i="7"/>
  <c r="AH13" i="7"/>
  <c r="AH12" i="7"/>
  <c r="AH11" i="7"/>
  <c r="AH10" i="7"/>
  <c r="AH9" i="7"/>
  <c r="AH8" i="7"/>
  <c r="AH19" i="8"/>
  <c r="AH18" i="8"/>
  <c r="AH17" i="8"/>
  <c r="AH16" i="8"/>
  <c r="AH15" i="8"/>
  <c r="AH14" i="8"/>
  <c r="AH13" i="8"/>
  <c r="AH12" i="8"/>
  <c r="AH11" i="8"/>
  <c r="AH10" i="8"/>
  <c r="AH9" i="8"/>
  <c r="AH8" i="8"/>
  <c r="AH19" i="114"/>
  <c r="AH18" i="114"/>
  <c r="AH17" i="114"/>
  <c r="AH16" i="114"/>
  <c r="AH15" i="114"/>
  <c r="AH14" i="114"/>
  <c r="AH13" i="114"/>
  <c r="AH12" i="114"/>
  <c r="AH11" i="114"/>
  <c r="AH10" i="114"/>
  <c r="AH9" i="114"/>
  <c r="AH8" i="114"/>
  <c r="AH19" i="10"/>
  <c r="AH18" i="10"/>
  <c r="AH17" i="10"/>
  <c r="AH16" i="10"/>
  <c r="AH15" i="10"/>
  <c r="AH14" i="10"/>
  <c r="AH13" i="10"/>
  <c r="AH12" i="10"/>
  <c r="AH11" i="10"/>
  <c r="AH10" i="10"/>
  <c r="AH9" i="10"/>
  <c r="AH8" i="10"/>
  <c r="AH19" i="11"/>
  <c r="AH18" i="11"/>
  <c r="AH17" i="11"/>
  <c r="AH16" i="11"/>
  <c r="AH15" i="11"/>
  <c r="AH14" i="11"/>
  <c r="AH13" i="11"/>
  <c r="AH12" i="11"/>
  <c r="AH11" i="11"/>
  <c r="AH10" i="11"/>
  <c r="AH9" i="11"/>
  <c r="AH8" i="11"/>
  <c r="AH19" i="12"/>
  <c r="AH18" i="12"/>
  <c r="AH17" i="12"/>
  <c r="AH16" i="12"/>
  <c r="AH15" i="12"/>
  <c r="AH14" i="12"/>
  <c r="AH13" i="12"/>
  <c r="AH12" i="12"/>
  <c r="AH11" i="12"/>
  <c r="AH10" i="12"/>
  <c r="AH9" i="12"/>
  <c r="AH8" i="12"/>
  <c r="AH19" i="13"/>
  <c r="AH18" i="13"/>
  <c r="AH17" i="13"/>
  <c r="AH16" i="13"/>
  <c r="AH15" i="13"/>
  <c r="AH14" i="13"/>
  <c r="AH13" i="13"/>
  <c r="AH12" i="13"/>
  <c r="AH11" i="13"/>
  <c r="AH10" i="13"/>
  <c r="AH9" i="13"/>
  <c r="AH8" i="13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19" i="15"/>
  <c r="AH18" i="15"/>
  <c r="AH17" i="15"/>
  <c r="AH16" i="15"/>
  <c r="AH15" i="15"/>
  <c r="AH14" i="15"/>
  <c r="AH13" i="15"/>
  <c r="AH12" i="15"/>
  <c r="AH11" i="15"/>
  <c r="AH10" i="15"/>
  <c r="AH9" i="15"/>
  <c r="AH8" i="15"/>
  <c r="AH19" i="16"/>
  <c r="AH18" i="16"/>
  <c r="AH17" i="16"/>
  <c r="AH16" i="16"/>
  <c r="AH15" i="16"/>
  <c r="AH14" i="16"/>
  <c r="AH13" i="16"/>
  <c r="AH12" i="16"/>
  <c r="AH11" i="16"/>
  <c r="AH10" i="16"/>
  <c r="AH9" i="16"/>
  <c r="AH8" i="16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19" i="122"/>
  <c r="AH18" i="122"/>
  <c r="AH17" i="122"/>
  <c r="AH16" i="122"/>
  <c r="AH15" i="122"/>
  <c r="AH14" i="122"/>
  <c r="AH13" i="122"/>
  <c r="AH12" i="122"/>
  <c r="AH11" i="122"/>
  <c r="AH10" i="122"/>
  <c r="AH9" i="122"/>
  <c r="AH8" i="122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19" i="19"/>
  <c r="AH18" i="19"/>
  <c r="AH17" i="19"/>
  <c r="AH16" i="19"/>
  <c r="AH15" i="19"/>
  <c r="AH14" i="19"/>
  <c r="AH13" i="19"/>
  <c r="AH12" i="19"/>
  <c r="AH11" i="19"/>
  <c r="AH10" i="19"/>
  <c r="AH9" i="19"/>
  <c r="AH8" i="19"/>
  <c r="AH19" i="20"/>
  <c r="AH18" i="20"/>
  <c r="AH17" i="20"/>
  <c r="AH16" i="20"/>
  <c r="AH15" i="20"/>
  <c r="AH14" i="20"/>
  <c r="AH13" i="20"/>
  <c r="AH12" i="20"/>
  <c r="AH11" i="20"/>
  <c r="AH10" i="20"/>
  <c r="AH9" i="20"/>
  <c r="AH8" i="20"/>
  <c r="AH19" i="21"/>
  <c r="AH18" i="21"/>
  <c r="AH17" i="21"/>
  <c r="AH16" i="21"/>
  <c r="AH15" i="21"/>
  <c r="AH14" i="21"/>
  <c r="AH13" i="21"/>
  <c r="AH12" i="21"/>
  <c r="AH11" i="21"/>
  <c r="AH10" i="21"/>
  <c r="AH9" i="21"/>
  <c r="AH8" i="21"/>
  <c r="AH19" i="22"/>
  <c r="AH18" i="22"/>
  <c r="AH17" i="22"/>
  <c r="AH16" i="22"/>
  <c r="AH15" i="22"/>
  <c r="AH14" i="22"/>
  <c r="AH13" i="22"/>
  <c r="AH12" i="22"/>
  <c r="AH11" i="22"/>
  <c r="AH10" i="22"/>
  <c r="AH9" i="22"/>
  <c r="AH8" i="22"/>
  <c r="AH19" i="23"/>
  <c r="AH18" i="23"/>
  <c r="AH17" i="23"/>
  <c r="AH16" i="23"/>
  <c r="AH15" i="23"/>
  <c r="AH14" i="23"/>
  <c r="AH13" i="23"/>
  <c r="AH12" i="23"/>
  <c r="AH11" i="23"/>
  <c r="AH10" i="23"/>
  <c r="AH9" i="23"/>
  <c r="AH8" i="23"/>
  <c r="AH19" i="24"/>
  <c r="AH18" i="24"/>
  <c r="AH17" i="24"/>
  <c r="AH16" i="24"/>
  <c r="AH15" i="24"/>
  <c r="AH14" i="24"/>
  <c r="AH13" i="24"/>
  <c r="AH12" i="24"/>
  <c r="AH11" i="24"/>
  <c r="AH10" i="24"/>
  <c r="AH9" i="24"/>
  <c r="AH8" i="24"/>
  <c r="AH19" i="25"/>
  <c r="AH18" i="25"/>
  <c r="AH17" i="25"/>
  <c r="AH16" i="25"/>
  <c r="AH15" i="25"/>
  <c r="AH14" i="25"/>
  <c r="AH13" i="25"/>
  <c r="AH12" i="25"/>
  <c r="AH11" i="25"/>
  <c r="AH10" i="25"/>
  <c r="AH9" i="25"/>
  <c r="AH8" i="25"/>
  <c r="AH19" i="26"/>
  <c r="AH18" i="26"/>
  <c r="AH17" i="26"/>
  <c r="AH16" i="26"/>
  <c r="AH15" i="26"/>
  <c r="AH14" i="26"/>
  <c r="AH13" i="26"/>
  <c r="AH12" i="26"/>
  <c r="AH11" i="26"/>
  <c r="AH10" i="26"/>
  <c r="AH9" i="26"/>
  <c r="AH8" i="26"/>
  <c r="AH19" i="130"/>
  <c r="AH18" i="130"/>
  <c r="AH17" i="130"/>
  <c r="AH16" i="130"/>
  <c r="AH15" i="130"/>
  <c r="AH14" i="130"/>
  <c r="AH13" i="130"/>
  <c r="AH12" i="130"/>
  <c r="AH11" i="130"/>
  <c r="AH10" i="130"/>
  <c r="AH9" i="130"/>
  <c r="AH8" i="130"/>
  <c r="AH19" i="27"/>
  <c r="AH18" i="27"/>
  <c r="AH17" i="27"/>
  <c r="AH16" i="27"/>
  <c r="AH15" i="27"/>
  <c r="AH14" i="27"/>
  <c r="AH13" i="27"/>
  <c r="AH12" i="27"/>
  <c r="AH11" i="27"/>
  <c r="AH10" i="27"/>
  <c r="AH9" i="27"/>
  <c r="AH8" i="27"/>
  <c r="AH19" i="28"/>
  <c r="AH18" i="28"/>
  <c r="AH17" i="28"/>
  <c r="AH16" i="28"/>
  <c r="AH15" i="28"/>
  <c r="AH14" i="28"/>
  <c r="AH13" i="28"/>
  <c r="AH12" i="28"/>
  <c r="AH11" i="28"/>
  <c r="AH10" i="28"/>
  <c r="AH9" i="28"/>
  <c r="AH8" i="28"/>
  <c r="AH19" i="29"/>
  <c r="AH18" i="29"/>
  <c r="AH17" i="29"/>
  <c r="AH16" i="29"/>
  <c r="AH15" i="29"/>
  <c r="AH14" i="29"/>
  <c r="AH13" i="29"/>
  <c r="AH12" i="29"/>
  <c r="AH11" i="29"/>
  <c r="AH10" i="29"/>
  <c r="AH9" i="29"/>
  <c r="AH8" i="29"/>
  <c r="AH19" i="31"/>
  <c r="AH18" i="31"/>
  <c r="AH17" i="31"/>
  <c r="AH16" i="31"/>
  <c r="AH15" i="31"/>
  <c r="AH14" i="31"/>
  <c r="AH13" i="31"/>
  <c r="AH12" i="31"/>
  <c r="AH11" i="31"/>
  <c r="AH10" i="31"/>
  <c r="AH9" i="31"/>
  <c r="AH8" i="31"/>
  <c r="AH19" i="119"/>
  <c r="AH18" i="119"/>
  <c r="AH17" i="119"/>
  <c r="AH16" i="119"/>
  <c r="AH15" i="119"/>
  <c r="AH14" i="119"/>
  <c r="AH13" i="119"/>
  <c r="AH12" i="119"/>
  <c r="AH11" i="119"/>
  <c r="AH10" i="119"/>
  <c r="AH9" i="119"/>
  <c r="AH8" i="119"/>
  <c r="AH19" i="33"/>
  <c r="AH18" i="33"/>
  <c r="AH17" i="33"/>
  <c r="AH16" i="33"/>
  <c r="AH15" i="33"/>
  <c r="AH14" i="33"/>
  <c r="AH13" i="33"/>
  <c r="AH12" i="33"/>
  <c r="AH11" i="33"/>
  <c r="AH10" i="33"/>
  <c r="AH9" i="33"/>
  <c r="AH8" i="33"/>
  <c r="AH19" i="35"/>
  <c r="AH18" i="35"/>
  <c r="AH17" i="35"/>
  <c r="AH16" i="35"/>
  <c r="AH15" i="35"/>
  <c r="AH14" i="35"/>
  <c r="AH13" i="35"/>
  <c r="AH12" i="35"/>
  <c r="AH11" i="35"/>
  <c r="AH10" i="35"/>
  <c r="AH9" i="35"/>
  <c r="AH8" i="35"/>
  <c r="AH19" i="129"/>
  <c r="AH18" i="129"/>
  <c r="AH17" i="129"/>
  <c r="AH16" i="129"/>
  <c r="AH15" i="129"/>
  <c r="AH14" i="129"/>
  <c r="AH13" i="129"/>
  <c r="AH12" i="129"/>
  <c r="AH11" i="129"/>
  <c r="AH10" i="129"/>
  <c r="AH9" i="129"/>
  <c r="AH8" i="129"/>
  <c r="AH19" i="36"/>
  <c r="AH18" i="36"/>
  <c r="AH17" i="36"/>
  <c r="AH16" i="36"/>
  <c r="AH15" i="36"/>
  <c r="AH14" i="36"/>
  <c r="AH13" i="36"/>
  <c r="AH12" i="36"/>
  <c r="AH11" i="36"/>
  <c r="AH10" i="36"/>
  <c r="AH9" i="36"/>
  <c r="AH8" i="36"/>
  <c r="AH19" i="37"/>
  <c r="AH18" i="37"/>
  <c r="AH17" i="37"/>
  <c r="AH16" i="37"/>
  <c r="AH15" i="37"/>
  <c r="AH14" i="37"/>
  <c r="AH13" i="37"/>
  <c r="AH12" i="37"/>
  <c r="AH11" i="37"/>
  <c r="AH10" i="37"/>
  <c r="AH9" i="37"/>
  <c r="AH8" i="37"/>
  <c r="AH19" i="38"/>
  <c r="AH18" i="38"/>
  <c r="AH17" i="38"/>
  <c r="AH16" i="38"/>
  <c r="AH15" i="38"/>
  <c r="AH14" i="38"/>
  <c r="AH13" i="38"/>
  <c r="AH12" i="38"/>
  <c r="AH11" i="38"/>
  <c r="AH10" i="38"/>
  <c r="AH9" i="38"/>
  <c r="AH8" i="38"/>
  <c r="AH19" i="39"/>
  <c r="AH18" i="39"/>
  <c r="AH17" i="39"/>
  <c r="AH16" i="39"/>
  <c r="AH15" i="39"/>
  <c r="AH14" i="39"/>
  <c r="AH13" i="39"/>
  <c r="AH12" i="39"/>
  <c r="AH11" i="39"/>
  <c r="AH10" i="39"/>
  <c r="AH9" i="39"/>
  <c r="AH8" i="39"/>
  <c r="AH19" i="43"/>
  <c r="AH18" i="43"/>
  <c r="AH17" i="43"/>
  <c r="AH16" i="43"/>
  <c r="AH15" i="43"/>
  <c r="AH14" i="43"/>
  <c r="AH13" i="43"/>
  <c r="AH12" i="43"/>
  <c r="AH11" i="43"/>
  <c r="AH10" i="43"/>
  <c r="AH9" i="43"/>
  <c r="AH8" i="43"/>
  <c r="AH19" i="45"/>
  <c r="AH18" i="45"/>
  <c r="AH17" i="45"/>
  <c r="AH16" i="45"/>
  <c r="AH15" i="45"/>
  <c r="AH14" i="45"/>
  <c r="AH13" i="45"/>
  <c r="AH12" i="45"/>
  <c r="AH11" i="45"/>
  <c r="AH10" i="45"/>
  <c r="AH9" i="45"/>
  <c r="AH8" i="45"/>
  <c r="AH19" i="46"/>
  <c r="AH18" i="46"/>
  <c r="AH17" i="46"/>
  <c r="AH16" i="46"/>
  <c r="AH15" i="46"/>
  <c r="AH14" i="46"/>
  <c r="AH13" i="46"/>
  <c r="AH12" i="46"/>
  <c r="AH11" i="46"/>
  <c r="AH10" i="46"/>
  <c r="AH9" i="46"/>
  <c r="AH8" i="46"/>
  <c r="AH19" i="116"/>
  <c r="AH18" i="116"/>
  <c r="AH17" i="116"/>
  <c r="AH16" i="116"/>
  <c r="AH15" i="116"/>
  <c r="AH14" i="116"/>
  <c r="AH13" i="116"/>
  <c r="AH12" i="116"/>
  <c r="AH11" i="116"/>
  <c r="AH10" i="116"/>
  <c r="AH9" i="116"/>
  <c r="AH8" i="116"/>
  <c r="AH19" i="47"/>
  <c r="AH18" i="47"/>
  <c r="AH17" i="47"/>
  <c r="AH16" i="47"/>
  <c r="AH15" i="47"/>
  <c r="AH14" i="47"/>
  <c r="AH13" i="47"/>
  <c r="AH12" i="47"/>
  <c r="AH11" i="47"/>
  <c r="AH10" i="47"/>
  <c r="AH9" i="47"/>
  <c r="AH8" i="47"/>
  <c r="AH19" i="103"/>
  <c r="AH18" i="103"/>
  <c r="AH17" i="103"/>
  <c r="AH16" i="103"/>
  <c r="AH15" i="103"/>
  <c r="AH14" i="103"/>
  <c r="AH13" i="103"/>
  <c r="AH12" i="103"/>
  <c r="AH11" i="103"/>
  <c r="AH10" i="103"/>
  <c r="AH9" i="103"/>
  <c r="AH8" i="103"/>
  <c r="AH19" i="48"/>
  <c r="AH18" i="48"/>
  <c r="AH17" i="48"/>
  <c r="AH16" i="48"/>
  <c r="AH15" i="48"/>
  <c r="AH14" i="48"/>
  <c r="AH13" i="48"/>
  <c r="AH12" i="48"/>
  <c r="AH11" i="48"/>
  <c r="AH10" i="48"/>
  <c r="AH9" i="48"/>
  <c r="AH8" i="48"/>
  <c r="AH19" i="49"/>
  <c r="AH18" i="49"/>
  <c r="AH17" i="49"/>
  <c r="AH16" i="49"/>
  <c r="AH15" i="49"/>
  <c r="AH14" i="49"/>
  <c r="AH13" i="49"/>
  <c r="AH12" i="49"/>
  <c r="AH11" i="49"/>
  <c r="AH10" i="49"/>
  <c r="AH9" i="49"/>
  <c r="AH8" i="49"/>
  <c r="AH19" i="139"/>
  <c r="AH18" i="139"/>
  <c r="AH17" i="139"/>
  <c r="AH16" i="139"/>
  <c r="AH15" i="139"/>
  <c r="AH14" i="139"/>
  <c r="AH13" i="139"/>
  <c r="AH12" i="139"/>
  <c r="AH11" i="139"/>
  <c r="AH10" i="139"/>
  <c r="AH9" i="139"/>
  <c r="AH8" i="139"/>
  <c r="AH19" i="135"/>
  <c r="AH18" i="135"/>
  <c r="AH17" i="135"/>
  <c r="AH16" i="135"/>
  <c r="AH15" i="135"/>
  <c r="AH14" i="135"/>
  <c r="AH13" i="135"/>
  <c r="AH12" i="135"/>
  <c r="AH11" i="135"/>
  <c r="AH10" i="135"/>
  <c r="AH9" i="135"/>
  <c r="AH8" i="135"/>
  <c r="AH19" i="51"/>
  <c r="AH18" i="51"/>
  <c r="AH17" i="51"/>
  <c r="AH16" i="51"/>
  <c r="AH15" i="51"/>
  <c r="AH14" i="51"/>
  <c r="AH13" i="51"/>
  <c r="AH12" i="51"/>
  <c r="AH11" i="51"/>
  <c r="AH10" i="51"/>
  <c r="AH9" i="51"/>
  <c r="AH8" i="51"/>
  <c r="AH19" i="52"/>
  <c r="AH18" i="52"/>
  <c r="AH17" i="52"/>
  <c r="AH16" i="52"/>
  <c r="AH15" i="52"/>
  <c r="AH14" i="52"/>
  <c r="AH13" i="52"/>
  <c r="AH12" i="52"/>
  <c r="AH11" i="52"/>
  <c r="AH10" i="52"/>
  <c r="AH9" i="52"/>
  <c r="AH8" i="52"/>
  <c r="AH19" i="53"/>
  <c r="AH18" i="53"/>
  <c r="AH17" i="53"/>
  <c r="AH16" i="53"/>
  <c r="AH15" i="53"/>
  <c r="AH14" i="53"/>
  <c r="AH13" i="53"/>
  <c r="AH12" i="53"/>
  <c r="AH11" i="53"/>
  <c r="AH10" i="53"/>
  <c r="AH9" i="53"/>
  <c r="AH8" i="53"/>
  <c r="AH19" i="56"/>
  <c r="AH18" i="56"/>
  <c r="AH17" i="56"/>
  <c r="AH16" i="56"/>
  <c r="AH15" i="56"/>
  <c r="AH14" i="56"/>
  <c r="AH13" i="56"/>
  <c r="AH12" i="56"/>
  <c r="AH11" i="56"/>
  <c r="AH10" i="56"/>
  <c r="AH9" i="56"/>
  <c r="AH8" i="56"/>
  <c r="AH19" i="57"/>
  <c r="AH18" i="57"/>
  <c r="AH17" i="57"/>
  <c r="AH16" i="57"/>
  <c r="AH15" i="57"/>
  <c r="AH14" i="57"/>
  <c r="AH13" i="57"/>
  <c r="AH12" i="57"/>
  <c r="AH11" i="57"/>
  <c r="AH10" i="57"/>
  <c r="AH9" i="57"/>
  <c r="AH8" i="57"/>
  <c r="AH19" i="127"/>
  <c r="AH18" i="127"/>
  <c r="AH17" i="127"/>
  <c r="AH16" i="127"/>
  <c r="AH15" i="127"/>
  <c r="AH14" i="127"/>
  <c r="AH13" i="127"/>
  <c r="AH12" i="127"/>
  <c r="AH11" i="127"/>
  <c r="AH10" i="127"/>
  <c r="AH9" i="127"/>
  <c r="AH8" i="127"/>
  <c r="AH19" i="60"/>
  <c r="AH18" i="60"/>
  <c r="AH17" i="60"/>
  <c r="AH16" i="60"/>
  <c r="AH15" i="60"/>
  <c r="AH14" i="60"/>
  <c r="AH13" i="60"/>
  <c r="AH12" i="60"/>
  <c r="AH11" i="60"/>
  <c r="AH10" i="60"/>
  <c r="AH9" i="60"/>
  <c r="AH8" i="60"/>
  <c r="AH19" i="61"/>
  <c r="AH18" i="61"/>
  <c r="AH17" i="61"/>
  <c r="AH16" i="61"/>
  <c r="AH15" i="61"/>
  <c r="AH14" i="61"/>
  <c r="AH13" i="61"/>
  <c r="AH12" i="61"/>
  <c r="AH11" i="61"/>
  <c r="AH10" i="61"/>
  <c r="AH9" i="61"/>
  <c r="AH8" i="61"/>
  <c r="AH19" i="117"/>
  <c r="AH18" i="117"/>
  <c r="AH17" i="117"/>
  <c r="AH16" i="117"/>
  <c r="AH15" i="117"/>
  <c r="AH14" i="117"/>
  <c r="AH13" i="117"/>
  <c r="AH12" i="117"/>
  <c r="AH11" i="117"/>
  <c r="AH10" i="117"/>
  <c r="AH9" i="117"/>
  <c r="AH8" i="117"/>
  <c r="AH19" i="64"/>
  <c r="AH18" i="64"/>
  <c r="AH17" i="64"/>
  <c r="AH16" i="64"/>
  <c r="AH15" i="64"/>
  <c r="AH14" i="64"/>
  <c r="AH13" i="64"/>
  <c r="AH12" i="64"/>
  <c r="AH11" i="64"/>
  <c r="AH10" i="64"/>
  <c r="AH9" i="64"/>
  <c r="AH8" i="64"/>
  <c r="AH19" i="66"/>
  <c r="AH18" i="66"/>
  <c r="AH17" i="66"/>
  <c r="AH16" i="66"/>
  <c r="AH15" i="66"/>
  <c r="AH14" i="66"/>
  <c r="AH13" i="66"/>
  <c r="AH12" i="66"/>
  <c r="AH11" i="66"/>
  <c r="AH10" i="66"/>
  <c r="AH9" i="66"/>
  <c r="AH8" i="66"/>
  <c r="AH19" i="67"/>
  <c r="AH18" i="67"/>
  <c r="AH17" i="67"/>
  <c r="AH16" i="67"/>
  <c r="AH15" i="67"/>
  <c r="AH14" i="67"/>
  <c r="AH13" i="67"/>
  <c r="AH12" i="67"/>
  <c r="AH11" i="67"/>
  <c r="AH10" i="67"/>
  <c r="AH9" i="67"/>
  <c r="AH8" i="67"/>
  <c r="AH19" i="69"/>
  <c r="AH18" i="69"/>
  <c r="AH17" i="69"/>
  <c r="AH16" i="69"/>
  <c r="AH15" i="69"/>
  <c r="AH14" i="69"/>
  <c r="AH13" i="69"/>
  <c r="AH12" i="69"/>
  <c r="AH11" i="69"/>
  <c r="AH10" i="69"/>
  <c r="AH9" i="69"/>
  <c r="AH8" i="69"/>
  <c r="AH19" i="111"/>
  <c r="AH18" i="111"/>
  <c r="AH17" i="111"/>
  <c r="AH16" i="111"/>
  <c r="AH15" i="111"/>
  <c r="AH14" i="111"/>
  <c r="AH13" i="111"/>
  <c r="AH12" i="111"/>
  <c r="AH11" i="111"/>
  <c r="AH10" i="111"/>
  <c r="AH9" i="111"/>
  <c r="AH8" i="111"/>
  <c r="AH19" i="70"/>
  <c r="AH18" i="70"/>
  <c r="AH17" i="70"/>
  <c r="AH16" i="70"/>
  <c r="AH15" i="70"/>
  <c r="AH14" i="70"/>
  <c r="AH13" i="70"/>
  <c r="AH12" i="70"/>
  <c r="AH11" i="70"/>
  <c r="AH10" i="70"/>
  <c r="AH9" i="70"/>
  <c r="AH8" i="70"/>
  <c r="AH19" i="131"/>
  <c r="AH18" i="131"/>
  <c r="AH17" i="131"/>
  <c r="AH16" i="131"/>
  <c r="AH15" i="131"/>
  <c r="AH14" i="131"/>
  <c r="AH13" i="131"/>
  <c r="AH12" i="131"/>
  <c r="AH11" i="131"/>
  <c r="AH10" i="131"/>
  <c r="AH9" i="131"/>
  <c r="AH8" i="131"/>
  <c r="AH19" i="72"/>
  <c r="AH18" i="72"/>
  <c r="AH17" i="72"/>
  <c r="AH16" i="72"/>
  <c r="AH15" i="72"/>
  <c r="AH14" i="72"/>
  <c r="AH13" i="72"/>
  <c r="AH12" i="72"/>
  <c r="AH11" i="72"/>
  <c r="AH10" i="72"/>
  <c r="AH9" i="72"/>
  <c r="AH8" i="72"/>
  <c r="AH19" i="73"/>
  <c r="AH18" i="73"/>
  <c r="AH17" i="73"/>
  <c r="AH16" i="73"/>
  <c r="AH15" i="73"/>
  <c r="AH14" i="73"/>
  <c r="AH13" i="73"/>
  <c r="AH12" i="73"/>
  <c r="AH11" i="73"/>
  <c r="AH10" i="73"/>
  <c r="AH9" i="73"/>
  <c r="AH8" i="73"/>
  <c r="AH19" i="74"/>
  <c r="AH18" i="74"/>
  <c r="AH17" i="74"/>
  <c r="AH16" i="74"/>
  <c r="AH15" i="74"/>
  <c r="AH14" i="74"/>
  <c r="AH13" i="74"/>
  <c r="AH12" i="74"/>
  <c r="AH11" i="74"/>
  <c r="AH10" i="74"/>
  <c r="AH9" i="74"/>
  <c r="AH8" i="74"/>
  <c r="AH19" i="75"/>
  <c r="AH18" i="75"/>
  <c r="AH17" i="75"/>
  <c r="AH16" i="75"/>
  <c r="AH15" i="75"/>
  <c r="AH14" i="75"/>
  <c r="AH13" i="75"/>
  <c r="AH12" i="75"/>
  <c r="AH11" i="75"/>
  <c r="AH10" i="75"/>
  <c r="AH9" i="75"/>
  <c r="AH8" i="75"/>
  <c r="AH19" i="137"/>
  <c r="AH18" i="137"/>
  <c r="AH17" i="137"/>
  <c r="AH16" i="137"/>
  <c r="AH15" i="137"/>
  <c r="AH14" i="137"/>
  <c r="AH13" i="137"/>
  <c r="AH12" i="137"/>
  <c r="AH11" i="137"/>
  <c r="AH10" i="137"/>
  <c r="AH9" i="137"/>
  <c r="AH8" i="137"/>
  <c r="AH19" i="121"/>
  <c r="AH18" i="121"/>
  <c r="AH17" i="121"/>
  <c r="AH16" i="121"/>
  <c r="AH15" i="121"/>
  <c r="AH14" i="121"/>
  <c r="AH13" i="121"/>
  <c r="AH12" i="121"/>
  <c r="AH11" i="121"/>
  <c r="AH10" i="121"/>
  <c r="AH9" i="121"/>
  <c r="AH8" i="121"/>
  <c r="AH19" i="106"/>
  <c r="AH18" i="106"/>
  <c r="AH17" i="106"/>
  <c r="AH16" i="106"/>
  <c r="AH15" i="106"/>
  <c r="AH14" i="106"/>
  <c r="AH13" i="106"/>
  <c r="AH12" i="106"/>
  <c r="AH11" i="106"/>
  <c r="AH10" i="106"/>
  <c r="AH9" i="106"/>
  <c r="AH8" i="106"/>
  <c r="AH19" i="101"/>
  <c r="AH18" i="101"/>
  <c r="AH17" i="101"/>
  <c r="AH16" i="101"/>
  <c r="AH15" i="101"/>
  <c r="AH14" i="101"/>
  <c r="AH13" i="101"/>
  <c r="AH12" i="101"/>
  <c r="AH11" i="101"/>
  <c r="AH10" i="101"/>
  <c r="AH9" i="101"/>
  <c r="AH8" i="101"/>
  <c r="AH19" i="138"/>
  <c r="AH18" i="138"/>
  <c r="AH17" i="138"/>
  <c r="AH16" i="138"/>
  <c r="AH15" i="138"/>
  <c r="AH14" i="138"/>
  <c r="AH13" i="138"/>
  <c r="AH12" i="138"/>
  <c r="AH11" i="138"/>
  <c r="AH10" i="138"/>
  <c r="AH9" i="138"/>
  <c r="AH8" i="138"/>
  <c r="AH19" i="76"/>
  <c r="AH18" i="76"/>
  <c r="AH17" i="76"/>
  <c r="AH16" i="76"/>
  <c r="AH15" i="76"/>
  <c r="AH14" i="76"/>
  <c r="AH13" i="76"/>
  <c r="AH12" i="76"/>
  <c r="AH11" i="76"/>
  <c r="AH10" i="76"/>
  <c r="AH9" i="76"/>
  <c r="AH8" i="76"/>
  <c r="AH19" i="77"/>
  <c r="AH18" i="77"/>
  <c r="AH17" i="77"/>
  <c r="AH16" i="77"/>
  <c r="AH15" i="77"/>
  <c r="AH14" i="77"/>
  <c r="AH13" i="77"/>
  <c r="AH12" i="77"/>
  <c r="AH11" i="77"/>
  <c r="AH10" i="77"/>
  <c r="AH9" i="77"/>
  <c r="AH8" i="77"/>
  <c r="AH19" i="78"/>
  <c r="AH18" i="78"/>
  <c r="AH17" i="78"/>
  <c r="AH16" i="78"/>
  <c r="AH15" i="78"/>
  <c r="AH14" i="78"/>
  <c r="AH13" i="78"/>
  <c r="AH12" i="78"/>
  <c r="AH11" i="78"/>
  <c r="AH10" i="78"/>
  <c r="AH9" i="78"/>
  <c r="AH8" i="78"/>
  <c r="AH19" i="113"/>
  <c r="AH18" i="113"/>
  <c r="AH17" i="113"/>
  <c r="AH16" i="113"/>
  <c r="AH15" i="113"/>
  <c r="AH14" i="113"/>
  <c r="AH13" i="113"/>
  <c r="AH12" i="113"/>
  <c r="AH11" i="113"/>
  <c r="AH10" i="113"/>
  <c r="AH9" i="113"/>
  <c r="AH8" i="113"/>
  <c r="AH19" i="79"/>
  <c r="AH18" i="79"/>
  <c r="AH17" i="79"/>
  <c r="AH16" i="79"/>
  <c r="AH15" i="79"/>
  <c r="AH14" i="79"/>
  <c r="AH13" i="79"/>
  <c r="AH12" i="79"/>
  <c r="AH11" i="79"/>
  <c r="AH10" i="79"/>
  <c r="AH9" i="79"/>
  <c r="AH8" i="79"/>
  <c r="AH19" i="125"/>
  <c r="AH18" i="125"/>
  <c r="AH17" i="125"/>
  <c r="AH16" i="125"/>
  <c r="AH15" i="125"/>
  <c r="AH14" i="125"/>
  <c r="AH13" i="125"/>
  <c r="AH12" i="125"/>
  <c r="AH11" i="125"/>
  <c r="AH10" i="125"/>
  <c r="AH9" i="125"/>
  <c r="AH8" i="125"/>
  <c r="AH19" i="80"/>
  <c r="AH18" i="80"/>
  <c r="AH17" i="80"/>
  <c r="AH16" i="80"/>
  <c r="AH15" i="80"/>
  <c r="AH14" i="80"/>
  <c r="AH13" i="80"/>
  <c r="AH12" i="80"/>
  <c r="AH11" i="80"/>
  <c r="AH10" i="80"/>
  <c r="AH9" i="80"/>
  <c r="AH8" i="80"/>
  <c r="AH19" i="81"/>
  <c r="AH18" i="81"/>
  <c r="AH17" i="81"/>
  <c r="AH16" i="81"/>
  <c r="AH15" i="81"/>
  <c r="AH14" i="81"/>
  <c r="AH13" i="81"/>
  <c r="AH12" i="81"/>
  <c r="AH11" i="81"/>
  <c r="AH10" i="81"/>
  <c r="AH9" i="81"/>
  <c r="AH8" i="81"/>
  <c r="AH19" i="82"/>
  <c r="AH18" i="82"/>
  <c r="AH17" i="82"/>
  <c r="AH16" i="82"/>
  <c r="AH15" i="82"/>
  <c r="AH14" i="82"/>
  <c r="AH13" i="82"/>
  <c r="AH12" i="82"/>
  <c r="AH11" i="82"/>
  <c r="AH10" i="82"/>
  <c r="AH9" i="82"/>
  <c r="AH8" i="82"/>
  <c r="AH19" i="83"/>
  <c r="AH18" i="83"/>
  <c r="AH17" i="83"/>
  <c r="AH16" i="83"/>
  <c r="AH15" i="83"/>
  <c r="AH14" i="83"/>
  <c r="AH13" i="83"/>
  <c r="AH12" i="83"/>
  <c r="AH11" i="83"/>
  <c r="AH10" i="83"/>
  <c r="AH9" i="83"/>
  <c r="AH8" i="83"/>
  <c r="AH19" i="132"/>
  <c r="AH18" i="132"/>
  <c r="AH17" i="132"/>
  <c r="AH16" i="132"/>
  <c r="AH15" i="132"/>
  <c r="AH14" i="132"/>
  <c r="AH13" i="132"/>
  <c r="AH12" i="132"/>
  <c r="AH11" i="132"/>
  <c r="AH10" i="132"/>
  <c r="AH9" i="132"/>
  <c r="AH8" i="132"/>
  <c r="AH19" i="120"/>
  <c r="AH18" i="120"/>
  <c r="AH17" i="120"/>
  <c r="AH16" i="120"/>
  <c r="AH15" i="120"/>
  <c r="AH14" i="120"/>
  <c r="AH13" i="120"/>
  <c r="AH12" i="120"/>
  <c r="AH11" i="120"/>
  <c r="AH10" i="120"/>
  <c r="AH9" i="120"/>
  <c r="AH8" i="120"/>
  <c r="AH19" i="133"/>
  <c r="AH18" i="133"/>
  <c r="AH17" i="133"/>
  <c r="AH16" i="133"/>
  <c r="AH15" i="133"/>
  <c r="AH14" i="133"/>
  <c r="AH13" i="133"/>
  <c r="AH12" i="133"/>
  <c r="AH11" i="133"/>
  <c r="AH10" i="133"/>
  <c r="AH9" i="133"/>
  <c r="AH8" i="133"/>
  <c r="AH19" i="84"/>
  <c r="AH18" i="84"/>
  <c r="AH17" i="84"/>
  <c r="AH16" i="84"/>
  <c r="AH15" i="84"/>
  <c r="AH14" i="84"/>
  <c r="AH13" i="84"/>
  <c r="AH12" i="84"/>
  <c r="AH11" i="84"/>
  <c r="AH10" i="84"/>
  <c r="AH9" i="84"/>
  <c r="AH8" i="84"/>
  <c r="AH19" i="123"/>
  <c r="AH18" i="123"/>
  <c r="AH17" i="123"/>
  <c r="AH16" i="123"/>
  <c r="AH15" i="123"/>
  <c r="AH14" i="123"/>
  <c r="AH13" i="123"/>
  <c r="AH12" i="123"/>
  <c r="AH11" i="123"/>
  <c r="AH10" i="123"/>
  <c r="AH9" i="123"/>
  <c r="AH8" i="123"/>
  <c r="AH19" i="88"/>
  <c r="AH18" i="88"/>
  <c r="AH17" i="88"/>
  <c r="AH16" i="88"/>
  <c r="AH15" i="88"/>
  <c r="AH14" i="88"/>
  <c r="AH13" i="88"/>
  <c r="AH12" i="88"/>
  <c r="AH11" i="88"/>
  <c r="AH10" i="88"/>
  <c r="AH9" i="88"/>
  <c r="AH8" i="88"/>
  <c r="AH19" i="112"/>
  <c r="AH18" i="112"/>
  <c r="AH17" i="112"/>
  <c r="AH16" i="112"/>
  <c r="AH15" i="112"/>
  <c r="AH14" i="112"/>
  <c r="AH13" i="112"/>
  <c r="AH12" i="112"/>
  <c r="AH11" i="112"/>
  <c r="AH10" i="112"/>
  <c r="AH9" i="112"/>
  <c r="AH8" i="112"/>
  <c r="AH19" i="90"/>
  <c r="AH18" i="90"/>
  <c r="AH17" i="90"/>
  <c r="AH16" i="90"/>
  <c r="AH15" i="90"/>
  <c r="AH14" i="90"/>
  <c r="AH13" i="90"/>
  <c r="AH12" i="90"/>
  <c r="AH11" i="90"/>
  <c r="AH10" i="90"/>
  <c r="AH9" i="90"/>
  <c r="AH8" i="90"/>
  <c r="AH19" i="92"/>
  <c r="AH18" i="92"/>
  <c r="AH17" i="92"/>
  <c r="AH16" i="92"/>
  <c r="AH15" i="92"/>
  <c r="AH14" i="92"/>
  <c r="AH13" i="92"/>
  <c r="AH12" i="92"/>
  <c r="AH11" i="92"/>
  <c r="AH10" i="92"/>
  <c r="AH9" i="92"/>
  <c r="AH8" i="92"/>
  <c r="AH19" i="94"/>
  <c r="AH18" i="94"/>
  <c r="AH17" i="94"/>
  <c r="AH16" i="94"/>
  <c r="AH15" i="94"/>
  <c r="AH14" i="94"/>
  <c r="AH13" i="94"/>
  <c r="AH12" i="94"/>
  <c r="AH11" i="94"/>
  <c r="AH10" i="94"/>
  <c r="AH9" i="94"/>
  <c r="AH8" i="94"/>
  <c r="AH19" i="126"/>
  <c r="AH18" i="126"/>
  <c r="AH17" i="126"/>
  <c r="AH16" i="126"/>
  <c r="AH15" i="126"/>
  <c r="AH14" i="126"/>
  <c r="AH13" i="126"/>
  <c r="AH12" i="126"/>
  <c r="AH11" i="126"/>
  <c r="AH10" i="126"/>
  <c r="AH9" i="126"/>
  <c r="AH8" i="126"/>
  <c r="AH19" i="95"/>
  <c r="AH18" i="95"/>
  <c r="AH17" i="95"/>
  <c r="AH16" i="95"/>
  <c r="AH15" i="95"/>
  <c r="AH14" i="95"/>
  <c r="AH13" i="95"/>
  <c r="AH12" i="95"/>
  <c r="AH11" i="95"/>
  <c r="AH10" i="95"/>
  <c r="AH9" i="95"/>
  <c r="AH8" i="95"/>
  <c r="AH19" i="98"/>
  <c r="AH18" i="98"/>
  <c r="AH17" i="98"/>
  <c r="AH16" i="98"/>
  <c r="AH15" i="98"/>
  <c r="AH14" i="98"/>
  <c r="AH13" i="98"/>
  <c r="AH12" i="98"/>
  <c r="AH11" i="98"/>
  <c r="AH10" i="98"/>
  <c r="AH9" i="98"/>
  <c r="AH8" i="98"/>
  <c r="D28" i="151"/>
  <c r="D29" i="151" s="1"/>
  <c r="CP28" i="151"/>
  <c r="CP29" i="151" s="1"/>
  <c r="CO28" i="151"/>
  <c r="CO29" i="151" s="1"/>
  <c r="CM28" i="151"/>
  <c r="CM29" i="151" s="1"/>
  <c r="CG28" i="151"/>
  <c r="CG29" i="151" s="1"/>
  <c r="BY28" i="151"/>
  <c r="BY29" i="151" s="1"/>
  <c r="BW28" i="151"/>
  <c r="BW29" i="151" s="1"/>
  <c r="BV28" i="151"/>
  <c r="BV29" i="151" s="1"/>
  <c r="BO28" i="151"/>
  <c r="BO29" i="151" s="1"/>
  <c r="BJ28" i="151"/>
  <c r="BJ29" i="151" s="1"/>
  <c r="BI28" i="151"/>
  <c r="BI29" i="151" s="1"/>
  <c r="BG28" i="151"/>
  <c r="BG29" i="151" s="1"/>
  <c r="BB28" i="151"/>
  <c r="BB29" i="151" s="1"/>
  <c r="G28" i="151"/>
  <c r="G29" i="151" s="1"/>
  <c r="F28" i="151"/>
  <c r="F29" i="151" s="1"/>
  <c r="E28" i="151"/>
  <c r="E29" i="151" s="1"/>
  <c r="C28" i="151"/>
  <c r="C29" i="151" s="1"/>
  <c r="CS25" i="151"/>
  <c r="CR25" i="151"/>
  <c r="CQ25" i="151"/>
  <c r="CP25" i="151"/>
  <c r="CO25" i="151"/>
  <c r="CM25" i="151"/>
  <c r="CL25" i="151"/>
  <c r="CK25" i="151"/>
  <c r="CJ25" i="151"/>
  <c r="CI25" i="151"/>
  <c r="CH25" i="151"/>
  <c r="CG25" i="151"/>
  <c r="CE25" i="151"/>
  <c r="CD25" i="151"/>
  <c r="CC25" i="151"/>
  <c r="CB25" i="151"/>
  <c r="CA25" i="151"/>
  <c r="BZ25" i="151"/>
  <c r="BY25" i="151"/>
  <c r="BW25" i="151"/>
  <c r="BV25" i="151"/>
  <c r="BU25" i="151"/>
  <c r="BT25" i="151"/>
  <c r="BS25" i="151"/>
  <c r="BR25" i="151"/>
  <c r="BQ25" i="151"/>
  <c r="BO25" i="151"/>
  <c r="BN25" i="151"/>
  <c r="BM25" i="151"/>
  <c r="BL25" i="151"/>
  <c r="BK25" i="151"/>
  <c r="BJ25" i="151"/>
  <c r="BI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U25" i="151"/>
  <c r="AT25" i="151"/>
  <c r="AS25" i="151"/>
  <c r="AR25" i="151"/>
  <c r="AQ25" i="151"/>
  <c r="AP25" i="151"/>
  <c r="AO25" i="151"/>
  <c r="AM25" i="151"/>
  <c r="AL25" i="151"/>
  <c r="AK25" i="151"/>
  <c r="AJ25" i="151"/>
  <c r="AI25" i="151"/>
  <c r="AH25" i="151"/>
  <c r="AG25" i="151"/>
  <c r="AE25" i="151"/>
  <c r="AD25" i="151"/>
  <c r="AC25" i="151"/>
  <c r="AB25" i="151"/>
  <c r="AA25" i="151"/>
  <c r="Z25" i="151"/>
  <c r="Y25" i="151"/>
  <c r="W25" i="151"/>
  <c r="V25" i="151"/>
  <c r="U25" i="151"/>
  <c r="T25" i="151"/>
  <c r="S25" i="151"/>
  <c r="R25" i="151"/>
  <c r="Q25" i="151"/>
  <c r="O25" i="151"/>
  <c r="N25" i="151"/>
  <c r="M25" i="151"/>
  <c r="L25" i="151"/>
  <c r="K25" i="151"/>
  <c r="J25" i="151"/>
  <c r="I25" i="151"/>
  <c r="G25" i="151"/>
  <c r="F25" i="151"/>
  <c r="E25" i="151"/>
  <c r="D25" i="151"/>
  <c r="B25" i="151"/>
  <c r="CS24" i="151"/>
  <c r="CQ24" i="151"/>
  <c r="CP24" i="151"/>
  <c r="CO24" i="151"/>
  <c r="CN24" i="151"/>
  <c r="CM24" i="151"/>
  <c r="CL24" i="151"/>
  <c r="CK24" i="151"/>
  <c r="CI24" i="151"/>
  <c r="CH24" i="151"/>
  <c r="CG24" i="151"/>
  <c r="CF24" i="151"/>
  <c r="CE24" i="151"/>
  <c r="CD24" i="151"/>
  <c r="CC24" i="151"/>
  <c r="CA24" i="151"/>
  <c r="BZ24" i="151"/>
  <c r="BY24" i="151"/>
  <c r="BX24" i="151"/>
  <c r="BW24" i="151"/>
  <c r="BV24" i="151"/>
  <c r="BU24" i="151"/>
  <c r="BS24" i="151"/>
  <c r="BR24" i="151"/>
  <c r="BQ24" i="151"/>
  <c r="BP24" i="151"/>
  <c r="BO24" i="151"/>
  <c r="BN24" i="151"/>
  <c r="BM24" i="151"/>
  <c r="BK24" i="151"/>
  <c r="BJ24" i="151"/>
  <c r="BI24" i="151"/>
  <c r="BH24" i="151"/>
  <c r="BG24" i="151"/>
  <c r="BF24" i="151"/>
  <c r="BE24" i="151"/>
  <c r="BC24" i="151"/>
  <c r="BB24" i="151"/>
  <c r="BA24" i="151"/>
  <c r="AZ24" i="151"/>
  <c r="AY24" i="151"/>
  <c r="AX24" i="151"/>
  <c r="AV24" i="151"/>
  <c r="AU24" i="151"/>
  <c r="AS24" i="151"/>
  <c r="AR24" i="151"/>
  <c r="AQ24" i="151"/>
  <c r="AP24" i="151"/>
  <c r="AN24" i="151"/>
  <c r="AM24" i="151"/>
  <c r="AK24" i="151"/>
  <c r="AJ24" i="151"/>
  <c r="AI24" i="151"/>
  <c r="AH24" i="151"/>
  <c r="AF24" i="151"/>
  <c r="AE24" i="151"/>
  <c r="AC24" i="151"/>
  <c r="AB24" i="151"/>
  <c r="AA24" i="151"/>
  <c r="Z24" i="151"/>
  <c r="X24" i="151"/>
  <c r="W24" i="151"/>
  <c r="U24" i="151"/>
  <c r="T24" i="151"/>
  <c r="S24" i="151"/>
  <c r="R24" i="151"/>
  <c r="P24" i="151"/>
  <c r="O24" i="151"/>
  <c r="M24" i="151"/>
  <c r="L24" i="151"/>
  <c r="K24" i="151"/>
  <c r="J24" i="151"/>
  <c r="H24" i="151"/>
  <c r="G24" i="151"/>
  <c r="F24" i="151"/>
  <c r="E24" i="151"/>
  <c r="D24" i="151"/>
  <c r="B24" i="151"/>
  <c r="CS23" i="151"/>
  <c r="CR23" i="151"/>
  <c r="CQ23" i="151"/>
  <c r="CP23" i="151"/>
  <c r="CO23" i="151"/>
  <c r="CM23" i="151"/>
  <c r="CL23" i="151"/>
  <c r="CK23" i="151"/>
  <c r="CJ23" i="151"/>
  <c r="CI23" i="151"/>
  <c r="CH23" i="151"/>
  <c r="CG23" i="151"/>
  <c r="CE23" i="151"/>
  <c r="CD23" i="151"/>
  <c r="CC23" i="151"/>
  <c r="CB23" i="151"/>
  <c r="CA23" i="151"/>
  <c r="BZ23" i="151"/>
  <c r="BY23" i="151"/>
  <c r="BW23" i="151"/>
  <c r="BV23" i="151"/>
  <c r="BU23" i="151"/>
  <c r="BT23" i="151"/>
  <c r="BS23" i="151"/>
  <c r="BR23" i="151"/>
  <c r="BQ23" i="151"/>
  <c r="BO23" i="151"/>
  <c r="BN23" i="151"/>
  <c r="BM23" i="151"/>
  <c r="BL23" i="151"/>
  <c r="BK23" i="151"/>
  <c r="BJ23" i="151"/>
  <c r="BI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T23" i="151"/>
  <c r="AS23" i="151"/>
  <c r="AR23" i="151"/>
  <c r="AQ23" i="151"/>
  <c r="AP23" i="151"/>
  <c r="AO23" i="151"/>
  <c r="AN23" i="151"/>
  <c r="AL23" i="151"/>
  <c r="AK23" i="151"/>
  <c r="AJ23" i="151"/>
  <c r="AI23" i="151"/>
  <c r="AH23" i="151"/>
  <c r="AG23" i="151"/>
  <c r="AF23" i="151"/>
  <c r="AD23" i="151"/>
  <c r="AC23" i="151"/>
  <c r="AB23" i="151"/>
  <c r="AA23" i="151"/>
  <c r="Z23" i="151"/>
  <c r="Y23" i="151"/>
  <c r="X23" i="151"/>
  <c r="V23" i="151"/>
  <c r="U23" i="151"/>
  <c r="T23" i="151"/>
  <c r="S23" i="151"/>
  <c r="R23" i="151"/>
  <c r="Q23" i="151"/>
  <c r="P23" i="151"/>
  <c r="N23" i="151"/>
  <c r="M23" i="151"/>
  <c r="L23" i="151"/>
  <c r="K23" i="151"/>
  <c r="J23" i="151"/>
  <c r="I23" i="151"/>
  <c r="H23" i="151"/>
  <c r="G23" i="151"/>
  <c r="F23" i="151"/>
  <c r="E23" i="151"/>
  <c r="D23" i="151"/>
  <c r="B23" i="151"/>
  <c r="CS22" i="151"/>
  <c r="CQ22" i="151"/>
  <c r="CP22" i="151"/>
  <c r="CO22" i="151"/>
  <c r="CN22" i="151"/>
  <c r="CM22" i="151"/>
  <c r="CL22" i="151"/>
  <c r="CK22" i="151"/>
  <c r="CI22" i="151"/>
  <c r="CH22" i="151"/>
  <c r="CG22" i="151"/>
  <c r="CF22" i="151"/>
  <c r="CE22" i="151"/>
  <c r="CD22" i="151"/>
  <c r="CC22" i="151"/>
  <c r="CA22" i="151"/>
  <c r="BZ22" i="151"/>
  <c r="BY22" i="151"/>
  <c r="BX22" i="151"/>
  <c r="BW22" i="151"/>
  <c r="BV22" i="151"/>
  <c r="BU22" i="151"/>
  <c r="BS22" i="151"/>
  <c r="BR22" i="151"/>
  <c r="BQ22" i="151"/>
  <c r="BP22" i="151"/>
  <c r="BO22" i="151"/>
  <c r="BN22" i="151"/>
  <c r="BM22" i="151"/>
  <c r="BK22" i="151"/>
  <c r="BJ22" i="151"/>
  <c r="BI22" i="151"/>
  <c r="BH22" i="151"/>
  <c r="BG22" i="151"/>
  <c r="BF22" i="151"/>
  <c r="BE22" i="151"/>
  <c r="BC22" i="151"/>
  <c r="BB22" i="151"/>
  <c r="AZ22" i="151"/>
  <c r="AY22" i="151"/>
  <c r="AW22" i="151"/>
  <c r="AV22" i="151"/>
  <c r="AU22" i="151"/>
  <c r="AT22" i="151"/>
  <c r="AR22" i="151"/>
  <c r="AQ22" i="151"/>
  <c r="AO22" i="151"/>
  <c r="AN22" i="151"/>
  <c r="AM22" i="151"/>
  <c r="AL22" i="151"/>
  <c r="AJ22" i="151"/>
  <c r="AI22" i="151"/>
  <c r="AG22" i="151"/>
  <c r="AF22" i="151"/>
  <c r="AE22" i="151"/>
  <c r="AD22" i="151"/>
  <c r="AB22" i="151"/>
  <c r="AA22" i="151"/>
  <c r="Y22" i="151"/>
  <c r="X22" i="151"/>
  <c r="W22" i="151"/>
  <c r="V22" i="151"/>
  <c r="T22" i="151"/>
  <c r="S22" i="151"/>
  <c r="Q22" i="151"/>
  <c r="P22" i="151"/>
  <c r="O22" i="151"/>
  <c r="N22" i="151"/>
  <c r="L22" i="151"/>
  <c r="K22" i="151"/>
  <c r="I22" i="151"/>
  <c r="H22" i="151"/>
  <c r="CS21" i="151"/>
  <c r="CR21" i="151"/>
  <c r="CQ21" i="151"/>
  <c r="CP21" i="151"/>
  <c r="CO21" i="151"/>
  <c r="CM21" i="151"/>
  <c r="CL21" i="151"/>
  <c r="CK21" i="151"/>
  <c r="CJ21" i="151"/>
  <c r="CI21" i="151"/>
  <c r="CH21" i="151"/>
  <c r="CG21" i="151"/>
  <c r="CE21" i="151"/>
  <c r="CD21" i="151"/>
  <c r="CC21" i="151"/>
  <c r="CB21" i="151"/>
  <c r="CA21" i="151"/>
  <c r="BZ21" i="151"/>
  <c r="BY21" i="151"/>
  <c r="BW21" i="151"/>
  <c r="BV21" i="151"/>
  <c r="BU21" i="151"/>
  <c r="BT21" i="151"/>
  <c r="BS21" i="151"/>
  <c r="BR21" i="151"/>
  <c r="BQ21" i="151"/>
  <c r="BO21" i="151"/>
  <c r="BN21" i="151"/>
  <c r="BM21" i="151"/>
  <c r="BL21" i="151"/>
  <c r="BK21" i="151"/>
  <c r="BJ21" i="151"/>
  <c r="BI21" i="151"/>
  <c r="BG21" i="151"/>
  <c r="BF21" i="151"/>
  <c r="BE21" i="151"/>
  <c r="BD21" i="151"/>
  <c r="BC21" i="151"/>
  <c r="BB21" i="151"/>
  <c r="BA21" i="151"/>
  <c r="AZ21" i="151"/>
  <c r="AX21" i="151"/>
  <c r="AW21" i="151"/>
  <c r="AU21" i="151"/>
  <c r="AT21" i="151"/>
  <c r="AS21" i="151"/>
  <c r="AR21" i="151"/>
  <c r="AP21" i="151"/>
  <c r="AO21" i="151"/>
  <c r="AM21" i="151"/>
  <c r="AL21" i="151"/>
  <c r="AK21" i="151"/>
  <c r="AJ21" i="151"/>
  <c r="AH21" i="151"/>
  <c r="AG21" i="151"/>
  <c r="AE21" i="151"/>
  <c r="AD21" i="151"/>
  <c r="AC21" i="151"/>
  <c r="AB21" i="151"/>
  <c r="Z21" i="151"/>
  <c r="Y21" i="151"/>
  <c r="W21" i="151"/>
  <c r="V21" i="151"/>
  <c r="U21" i="151"/>
  <c r="T21" i="151"/>
  <c r="R21" i="151"/>
  <c r="Q21" i="151"/>
  <c r="O21" i="151"/>
  <c r="N21" i="151"/>
  <c r="M21" i="151"/>
  <c r="L21" i="151"/>
  <c r="J21" i="151"/>
  <c r="I21" i="151"/>
  <c r="G21" i="151"/>
  <c r="CS20" i="151"/>
  <c r="CQ20" i="151"/>
  <c r="CP20" i="151"/>
  <c r="CO20" i="151"/>
  <c r="CN20" i="151"/>
  <c r="CM20" i="151"/>
  <c r="CL20" i="151"/>
  <c r="CK20" i="151"/>
  <c r="CI20" i="151"/>
  <c r="CH20" i="151"/>
  <c r="CG20" i="151"/>
  <c r="CF20" i="151"/>
  <c r="CE20" i="151"/>
  <c r="CD20" i="151"/>
  <c r="CC20" i="151"/>
  <c r="CA20" i="151"/>
  <c r="BZ20" i="151"/>
  <c r="BY20" i="151"/>
  <c r="BX20" i="151"/>
  <c r="BW20" i="151"/>
  <c r="BV20" i="151"/>
  <c r="BU20" i="151"/>
  <c r="BS20" i="151"/>
  <c r="BR20" i="151"/>
  <c r="BQ20" i="151"/>
  <c r="BP20" i="151"/>
  <c r="BO20" i="151"/>
  <c r="BN20" i="151"/>
  <c r="BM20" i="151"/>
  <c r="BK20" i="151"/>
  <c r="BJ20" i="151"/>
  <c r="BI20" i="151"/>
  <c r="BH20" i="151"/>
  <c r="BG20" i="151"/>
  <c r="BF20" i="151"/>
  <c r="BE20" i="151"/>
  <c r="BC20" i="151"/>
  <c r="BB20" i="151"/>
  <c r="BA20" i="151"/>
  <c r="AZ20" i="151"/>
  <c r="AY20" i="151"/>
  <c r="AX20" i="151"/>
  <c r="AV20" i="151"/>
  <c r="AU20" i="151"/>
  <c r="AS20" i="151"/>
  <c r="AR20" i="151"/>
  <c r="AQ20" i="151"/>
  <c r="AP20" i="151"/>
  <c r="AN20" i="151"/>
  <c r="AM20" i="151"/>
  <c r="AK20" i="151"/>
  <c r="AJ20" i="151"/>
  <c r="AI20" i="151"/>
  <c r="AH20" i="151"/>
  <c r="AF20" i="151"/>
  <c r="AE20" i="151"/>
  <c r="AC20" i="151"/>
  <c r="AB20" i="151"/>
  <c r="AA20" i="151"/>
  <c r="Z20" i="151"/>
  <c r="X20" i="151"/>
  <c r="W20" i="151"/>
  <c r="U20" i="151"/>
  <c r="T20" i="151"/>
  <c r="S20" i="151"/>
  <c r="R20" i="151"/>
  <c r="P20" i="151"/>
  <c r="O20" i="151"/>
  <c r="M20" i="151"/>
  <c r="L20" i="151"/>
  <c r="K20" i="151"/>
  <c r="J20" i="151"/>
  <c r="H20" i="151"/>
  <c r="G20" i="151"/>
  <c r="E20" i="151"/>
  <c r="D20" i="151"/>
  <c r="B20" i="151"/>
  <c r="CS19" i="151"/>
  <c r="CR19" i="151"/>
  <c r="CQ19" i="151"/>
  <c r="CP19" i="151"/>
  <c r="CO19" i="151"/>
  <c r="CM19" i="151"/>
  <c r="CL19" i="151"/>
  <c r="CK19" i="151"/>
  <c r="CJ19" i="151"/>
  <c r="CI19" i="151"/>
  <c r="CH19" i="151"/>
  <c r="CG19" i="151"/>
  <c r="CE19" i="151"/>
  <c r="CD19" i="151"/>
  <c r="CC19" i="151"/>
  <c r="CB19" i="151"/>
  <c r="CA19" i="151"/>
  <c r="BZ19" i="151"/>
  <c r="BY19" i="151"/>
  <c r="BW19" i="151"/>
  <c r="BV19" i="151"/>
  <c r="BU19" i="151"/>
  <c r="BT19" i="151"/>
  <c r="BS19" i="151"/>
  <c r="BR19" i="151"/>
  <c r="BQ19" i="151"/>
  <c r="BO19" i="151"/>
  <c r="BN19" i="151"/>
  <c r="BM19" i="151"/>
  <c r="BL19" i="151"/>
  <c r="BK19" i="151"/>
  <c r="BJ19" i="151"/>
  <c r="BI19" i="151"/>
  <c r="BG19" i="151"/>
  <c r="BF19" i="151"/>
  <c r="BE19" i="151"/>
  <c r="BD19" i="151"/>
  <c r="BC19" i="151"/>
  <c r="BB19" i="151"/>
  <c r="BA19" i="151"/>
  <c r="AY19" i="151"/>
  <c r="AX19" i="151"/>
  <c r="AW19" i="151"/>
  <c r="AV19" i="151"/>
  <c r="AT19" i="151"/>
  <c r="AS19" i="151"/>
  <c r="AQ19" i="151"/>
  <c r="AP19" i="151"/>
  <c r="AO19" i="151"/>
  <c r="AN19" i="151"/>
  <c r="AL19" i="151"/>
  <c r="AK19" i="151"/>
  <c r="AI19" i="151"/>
  <c r="AH19" i="151"/>
  <c r="AG19" i="151"/>
  <c r="AF19" i="151"/>
  <c r="AD19" i="151"/>
  <c r="AC19" i="151"/>
  <c r="AA19" i="151"/>
  <c r="Z19" i="151"/>
  <c r="Y19" i="151"/>
  <c r="X19" i="151"/>
  <c r="V19" i="151"/>
  <c r="U19" i="151"/>
  <c r="S19" i="151"/>
  <c r="R19" i="151"/>
  <c r="Q19" i="151"/>
  <c r="P19" i="151"/>
  <c r="N19" i="151"/>
  <c r="M19" i="151"/>
  <c r="K19" i="151"/>
  <c r="J19" i="151"/>
  <c r="I19" i="151"/>
  <c r="H19" i="151"/>
  <c r="G19" i="151"/>
  <c r="F19" i="151"/>
  <c r="E19" i="151"/>
  <c r="D19" i="151"/>
  <c r="B19" i="151"/>
  <c r="CS18" i="151"/>
  <c r="CQ18" i="151"/>
  <c r="CP18" i="151"/>
  <c r="CO18" i="151"/>
  <c r="CN18" i="151"/>
  <c r="CM18" i="151"/>
  <c r="CL18" i="151"/>
  <c r="CK18" i="151"/>
  <c r="CI18" i="151"/>
  <c r="CH18" i="151"/>
  <c r="CG18" i="151"/>
  <c r="CF18" i="151"/>
  <c r="CE18" i="151"/>
  <c r="CD18" i="151"/>
  <c r="CC18" i="151"/>
  <c r="CA18" i="151"/>
  <c r="BZ18" i="151"/>
  <c r="BY18" i="151"/>
  <c r="BX18" i="151"/>
  <c r="BW18" i="151"/>
  <c r="BV18" i="151"/>
  <c r="BU18" i="151"/>
  <c r="BS18" i="151"/>
  <c r="BR18" i="151"/>
  <c r="BQ18" i="151"/>
  <c r="BP18" i="151"/>
  <c r="BO18" i="151"/>
  <c r="BN18" i="151"/>
  <c r="BM18" i="151"/>
  <c r="BK18" i="151"/>
  <c r="BJ18" i="151"/>
  <c r="BI18" i="151"/>
  <c r="BH18" i="151"/>
  <c r="BG18" i="151"/>
  <c r="BF18" i="151"/>
  <c r="BE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B18" i="151"/>
  <c r="CS17" i="151"/>
  <c r="CR17" i="151"/>
  <c r="CQ17" i="151"/>
  <c r="CP17" i="151"/>
  <c r="CO17" i="151"/>
  <c r="CM17" i="151"/>
  <c r="CL17" i="151"/>
  <c r="CK17" i="151"/>
  <c r="CJ17" i="151"/>
  <c r="CI17" i="151"/>
  <c r="CH17" i="151"/>
  <c r="CG17" i="151"/>
  <c r="CE17" i="151"/>
  <c r="CD17" i="151"/>
  <c r="CC17" i="151"/>
  <c r="CB17" i="151"/>
  <c r="CA17" i="151"/>
  <c r="BZ17" i="151"/>
  <c r="BY17" i="151"/>
  <c r="BW17" i="151"/>
  <c r="BV17" i="151"/>
  <c r="BU17" i="151"/>
  <c r="BT17" i="151"/>
  <c r="BS17" i="151"/>
  <c r="BR17" i="151"/>
  <c r="BQ17" i="151"/>
  <c r="BO17" i="151"/>
  <c r="BN17" i="151"/>
  <c r="BM17" i="151"/>
  <c r="BL17" i="151"/>
  <c r="BK17" i="151"/>
  <c r="BJ17" i="151"/>
  <c r="BI17" i="151"/>
  <c r="BG17" i="151"/>
  <c r="BF17" i="151"/>
  <c r="BE17" i="151"/>
  <c r="BD17" i="151"/>
  <c r="BC17" i="151"/>
  <c r="BB17" i="151"/>
  <c r="BA17" i="151"/>
  <c r="AZ17" i="151"/>
  <c r="AX17" i="151"/>
  <c r="AW17" i="151"/>
  <c r="AU17" i="151"/>
  <c r="AT17" i="151"/>
  <c r="AS17" i="151"/>
  <c r="AR17" i="151"/>
  <c r="AP17" i="151"/>
  <c r="AO17" i="151"/>
  <c r="AM17" i="151"/>
  <c r="AL17" i="151"/>
  <c r="AK17" i="151"/>
  <c r="AJ17" i="151"/>
  <c r="AH17" i="151"/>
  <c r="AG17" i="151"/>
  <c r="AE17" i="151"/>
  <c r="AD17" i="151"/>
  <c r="AC17" i="151"/>
  <c r="AB17" i="151"/>
  <c r="Z17" i="151"/>
  <c r="Y17" i="151"/>
  <c r="W17" i="151"/>
  <c r="V17" i="151"/>
  <c r="U17" i="151"/>
  <c r="T17" i="151"/>
  <c r="R17" i="151"/>
  <c r="Q17" i="151"/>
  <c r="O17" i="151"/>
  <c r="N17" i="151"/>
  <c r="M17" i="151"/>
  <c r="L17" i="151"/>
  <c r="J17" i="151"/>
  <c r="I17" i="151"/>
  <c r="G17" i="151"/>
  <c r="F17" i="151"/>
  <c r="E17" i="151"/>
  <c r="D17" i="151"/>
  <c r="B17" i="151"/>
  <c r="CS16" i="151"/>
  <c r="CQ16" i="151"/>
  <c r="CP16" i="151"/>
  <c r="CO16" i="151"/>
  <c r="CN16" i="151"/>
  <c r="CM16" i="151"/>
  <c r="CL16" i="151"/>
  <c r="CK16" i="151"/>
  <c r="CI16" i="151"/>
  <c r="CH16" i="151"/>
  <c r="CG16" i="151"/>
  <c r="CF16" i="151"/>
  <c r="CE16" i="151"/>
  <c r="CD16" i="151"/>
  <c r="CC16" i="151"/>
  <c r="CA16" i="151"/>
  <c r="BZ16" i="151"/>
  <c r="BY16" i="151"/>
  <c r="BX16" i="151"/>
  <c r="BW16" i="151"/>
  <c r="BV16" i="151"/>
  <c r="BU16" i="151"/>
  <c r="BS16" i="151"/>
  <c r="BR16" i="151"/>
  <c r="BQ16" i="151"/>
  <c r="BP16" i="151"/>
  <c r="BO16" i="151"/>
  <c r="BN16" i="151"/>
  <c r="BM16" i="151"/>
  <c r="BK16" i="151"/>
  <c r="BJ16" i="151"/>
  <c r="BI16" i="151"/>
  <c r="BH16" i="151"/>
  <c r="BG16" i="151"/>
  <c r="BF16" i="151"/>
  <c r="BE16" i="151"/>
  <c r="BC16" i="151"/>
  <c r="BB16" i="151"/>
  <c r="BA16" i="151"/>
  <c r="AZ16" i="151"/>
  <c r="AY16" i="151"/>
  <c r="AX16" i="151"/>
  <c r="AV16" i="151"/>
  <c r="AU16" i="151"/>
  <c r="AS16" i="151"/>
  <c r="AR16" i="151"/>
  <c r="AQ16" i="151"/>
  <c r="AP16" i="151"/>
  <c r="AN16" i="151"/>
  <c r="AM16" i="151"/>
  <c r="AK16" i="151"/>
  <c r="AJ16" i="151"/>
  <c r="AI16" i="151"/>
  <c r="AH16" i="151"/>
  <c r="AF16" i="151"/>
  <c r="AE16" i="151"/>
  <c r="AC16" i="151"/>
  <c r="AB16" i="151"/>
  <c r="AA16" i="151"/>
  <c r="Z16" i="151"/>
  <c r="X16" i="151"/>
  <c r="W16" i="151"/>
  <c r="U16" i="151"/>
  <c r="T16" i="151"/>
  <c r="S16" i="151"/>
  <c r="R16" i="151"/>
  <c r="P16" i="151"/>
  <c r="O16" i="151"/>
  <c r="M16" i="151"/>
  <c r="L16" i="151"/>
  <c r="K16" i="151"/>
  <c r="J16" i="151"/>
  <c r="H16" i="151"/>
  <c r="G16" i="151"/>
  <c r="F16" i="151"/>
  <c r="E16" i="151"/>
  <c r="D16" i="151"/>
  <c r="B16" i="151"/>
  <c r="CS15" i="151"/>
  <c r="CR15" i="151"/>
  <c r="CQ15" i="151"/>
  <c r="CP15" i="151"/>
  <c r="CO15" i="151"/>
  <c r="CM15" i="151"/>
  <c r="CL15" i="151"/>
  <c r="CK15" i="151"/>
  <c r="CJ15" i="151"/>
  <c r="CI15" i="151"/>
  <c r="CH15" i="151"/>
  <c r="CG15" i="151"/>
  <c r="CE15" i="151"/>
  <c r="CD15" i="151"/>
  <c r="CC15" i="151"/>
  <c r="CB15" i="151"/>
  <c r="CA15" i="151"/>
  <c r="BZ15" i="151"/>
  <c r="BY15" i="151"/>
  <c r="BW15" i="151"/>
  <c r="BV15" i="151"/>
  <c r="BU15" i="151"/>
  <c r="BT15" i="151"/>
  <c r="BS15" i="151"/>
  <c r="BR15" i="151"/>
  <c r="BQ15" i="151"/>
  <c r="BO15" i="151"/>
  <c r="BN15" i="151"/>
  <c r="BM15" i="151"/>
  <c r="BL15" i="151"/>
  <c r="BK15" i="151"/>
  <c r="BJ15" i="151"/>
  <c r="BI15" i="151"/>
  <c r="BG15" i="151"/>
  <c r="BF15" i="151"/>
  <c r="BE15" i="151"/>
  <c r="BD15" i="151"/>
  <c r="BC15" i="151"/>
  <c r="BB15" i="151"/>
  <c r="BA15" i="151"/>
  <c r="AY15" i="151"/>
  <c r="AX15" i="151"/>
  <c r="AW15" i="151"/>
  <c r="AV15" i="151"/>
  <c r="AU15" i="151"/>
  <c r="AT15" i="151"/>
  <c r="AS15" i="151"/>
  <c r="AQ15" i="151"/>
  <c r="AP15" i="151"/>
  <c r="AO15" i="151"/>
  <c r="AN15" i="151"/>
  <c r="AM15" i="151"/>
  <c r="AL15" i="151"/>
  <c r="AK15" i="151"/>
  <c r="AI15" i="151"/>
  <c r="AH15" i="151"/>
  <c r="AG15" i="151"/>
  <c r="AF15" i="151"/>
  <c r="AE15" i="151"/>
  <c r="AD15" i="151"/>
  <c r="AC15" i="151"/>
  <c r="AA15" i="151"/>
  <c r="Z15" i="151"/>
  <c r="Y15" i="151"/>
  <c r="X15" i="151"/>
  <c r="W15" i="151"/>
  <c r="V15" i="151"/>
  <c r="U15" i="151"/>
  <c r="S15" i="151"/>
  <c r="R15" i="151"/>
  <c r="Q15" i="151"/>
  <c r="P15" i="151"/>
  <c r="O15" i="151"/>
  <c r="N15" i="151"/>
  <c r="M15" i="151"/>
  <c r="K15" i="151"/>
  <c r="J15" i="151"/>
  <c r="I15" i="151"/>
  <c r="H15" i="151"/>
  <c r="G15" i="151"/>
  <c r="F15" i="151"/>
  <c r="E15" i="151"/>
  <c r="D15" i="151"/>
  <c r="B15" i="151"/>
  <c r="CR14" i="151"/>
  <c r="CQ14" i="151"/>
  <c r="CP14" i="151"/>
  <c r="CO14" i="151"/>
  <c r="CN14" i="151"/>
  <c r="CM14" i="151"/>
  <c r="CL14" i="151"/>
  <c r="CK14" i="151"/>
  <c r="CJ14" i="151"/>
  <c r="CI14" i="151"/>
  <c r="CH14" i="151"/>
  <c r="CG14" i="151"/>
  <c r="CF14" i="151"/>
  <c r="CE14" i="151"/>
  <c r="CD14" i="151"/>
  <c r="CC14" i="151"/>
  <c r="CB14" i="151"/>
  <c r="BZ14" i="151"/>
  <c r="BY14" i="151"/>
  <c r="BX14" i="151"/>
  <c r="BW14" i="151"/>
  <c r="BV14" i="151"/>
  <c r="BU14" i="151"/>
  <c r="BT14" i="151"/>
  <c r="BS14" i="151"/>
  <c r="BR14" i="151"/>
  <c r="BQ14" i="151"/>
  <c r="BP14" i="151"/>
  <c r="BO14" i="151"/>
  <c r="BN14" i="151"/>
  <c r="BM14" i="151"/>
  <c r="BL14" i="151"/>
  <c r="BK14" i="151"/>
  <c r="BJ14" i="151"/>
  <c r="BI14" i="151"/>
  <c r="BH14" i="151"/>
  <c r="BG14" i="151"/>
  <c r="BF14" i="151"/>
  <c r="BE14" i="151"/>
  <c r="BD14" i="151"/>
  <c r="BC14" i="151"/>
  <c r="BB14" i="151"/>
  <c r="BA14" i="151"/>
  <c r="AZ14" i="151"/>
  <c r="AY14" i="151"/>
  <c r="AX14" i="151"/>
  <c r="AW14" i="151"/>
  <c r="AV14" i="151"/>
  <c r="AU14" i="151"/>
  <c r="AT14" i="151"/>
  <c r="AS14" i="151"/>
  <c r="AR14" i="151"/>
  <c r="AQ14" i="151"/>
  <c r="AP14" i="151"/>
  <c r="AO14" i="151"/>
  <c r="AN14" i="151"/>
  <c r="AM14" i="151"/>
  <c r="AL14" i="151"/>
  <c r="AK14" i="151"/>
  <c r="AJ14" i="151"/>
  <c r="AI14" i="151"/>
  <c r="AH14" i="151"/>
  <c r="AG14" i="151"/>
  <c r="AF14" i="151"/>
  <c r="AE14" i="151"/>
  <c r="AD14" i="151"/>
  <c r="AC14" i="151"/>
  <c r="AB14" i="151"/>
  <c r="AA14" i="151"/>
  <c r="Z14" i="151"/>
  <c r="Y14" i="151"/>
  <c r="X14" i="151"/>
  <c r="W14" i="151"/>
  <c r="V14" i="151"/>
  <c r="U14" i="151"/>
  <c r="T14" i="151"/>
  <c r="S14" i="151"/>
  <c r="R14" i="151"/>
  <c r="Q14" i="151"/>
  <c r="P14" i="151"/>
  <c r="O14" i="151"/>
  <c r="N14" i="151"/>
  <c r="M14" i="151"/>
  <c r="L14" i="151"/>
  <c r="K14" i="151"/>
  <c r="J14" i="151"/>
  <c r="I14" i="151"/>
  <c r="H14" i="151"/>
  <c r="G14" i="151"/>
  <c r="F14" i="151"/>
  <c r="E14" i="151"/>
  <c r="D14" i="151"/>
  <c r="B14" i="151"/>
  <c r="AH9" i="4"/>
  <c r="AH10" i="4"/>
  <c r="AH11" i="4"/>
  <c r="AH12" i="4"/>
  <c r="AH13" i="4"/>
  <c r="AH14" i="4"/>
  <c r="AH15" i="4"/>
  <c r="AH16" i="4"/>
  <c r="AH17" i="4"/>
  <c r="AH18" i="4"/>
  <c r="AH19" i="4"/>
  <c r="AH8" i="4"/>
  <c r="B1" i="98"/>
  <c r="C1" i="98" s="1"/>
  <c r="A1" i="98"/>
  <c r="B1" i="95"/>
  <c r="C1" i="95" s="1"/>
  <c r="A1" i="95"/>
  <c r="B1" i="126"/>
  <c r="C1" i="126" s="1"/>
  <c r="A1" i="126"/>
  <c r="A1" i="94"/>
  <c r="B1" i="94" s="1"/>
  <c r="C1" i="94" s="1"/>
  <c r="B1" i="92"/>
  <c r="C1" i="92" s="1"/>
  <c r="A1" i="92"/>
  <c r="A1" i="90"/>
  <c r="B1" i="90" s="1"/>
  <c r="C1" i="90" s="1"/>
  <c r="A1" i="112"/>
  <c r="B1" i="112" s="1"/>
  <c r="C1" i="112" s="1"/>
  <c r="A1" i="88"/>
  <c r="B1" i="88" s="1"/>
  <c r="C1" i="88" s="1"/>
  <c r="B1" i="123"/>
  <c r="C1" i="123" s="1"/>
  <c r="A1" i="123"/>
  <c r="A1" i="84"/>
  <c r="B1" i="84" s="1"/>
  <c r="C1" i="84" s="1"/>
  <c r="A1" i="133"/>
  <c r="B1" i="133" s="1"/>
  <c r="C1" i="133" s="1"/>
  <c r="B1" i="120"/>
  <c r="C1" i="120" s="1"/>
  <c r="A1" i="120"/>
  <c r="A1" i="132"/>
  <c r="B1" i="132" s="1"/>
  <c r="C1" i="132" s="1"/>
  <c r="B1" i="83"/>
  <c r="C1" i="83" s="1"/>
  <c r="A1" i="83"/>
  <c r="A1" i="82"/>
  <c r="B1" i="82" s="1"/>
  <c r="C1" i="82" s="1"/>
  <c r="A1" i="81"/>
  <c r="B1" i="81" s="1"/>
  <c r="C1" i="81" s="1"/>
  <c r="B1" i="80"/>
  <c r="C1" i="80" s="1"/>
  <c r="A1" i="80"/>
  <c r="A1" i="125"/>
  <c r="B1" i="125" s="1"/>
  <c r="C1" i="125" s="1"/>
  <c r="B1" i="79"/>
  <c r="C1" i="79" s="1"/>
  <c r="A1" i="79"/>
  <c r="A1" i="113"/>
  <c r="B1" i="113" s="1"/>
  <c r="C1" i="113" s="1"/>
  <c r="A1" i="78"/>
  <c r="B1" i="78" s="1"/>
  <c r="C1" i="78" s="1"/>
  <c r="B1" i="77"/>
  <c r="C1" i="77" s="1"/>
  <c r="A1" i="77"/>
  <c r="B1" i="76"/>
  <c r="C1" i="76" s="1"/>
  <c r="A1" i="76"/>
  <c r="B1" i="138"/>
  <c r="C1" i="138" s="1"/>
  <c r="A1" i="138"/>
  <c r="A1" i="101"/>
  <c r="B1" i="101" s="1"/>
  <c r="C1" i="101" s="1"/>
  <c r="A1" i="106"/>
  <c r="B1" i="106" s="1"/>
  <c r="C1" i="106" s="1"/>
  <c r="B1" i="121"/>
  <c r="C1" i="121" s="1"/>
  <c r="A1" i="121"/>
  <c r="A1" i="137"/>
  <c r="B1" i="137" s="1"/>
  <c r="C1" i="137" s="1"/>
  <c r="B1" i="75"/>
  <c r="C1" i="75" s="1"/>
  <c r="A1" i="75"/>
  <c r="A1" i="74"/>
  <c r="B1" i="74" s="1"/>
  <c r="C1" i="74" s="1"/>
  <c r="B1" i="73"/>
  <c r="C1" i="73" s="1"/>
  <c r="A1" i="73"/>
  <c r="A1" i="72"/>
  <c r="B1" i="72" s="1"/>
  <c r="C1" i="72" s="1"/>
  <c r="A1" i="131"/>
  <c r="B1" i="131" s="1"/>
  <c r="C1" i="131" s="1"/>
  <c r="A1" i="70"/>
  <c r="B1" i="70" s="1"/>
  <c r="C1" i="70" s="1"/>
  <c r="A1" i="111"/>
  <c r="B1" i="111" s="1"/>
  <c r="C1" i="111" s="1"/>
  <c r="B1" i="69"/>
  <c r="C1" i="69" s="1"/>
  <c r="A1" i="69"/>
  <c r="B1" i="67"/>
  <c r="C1" i="67" s="1"/>
  <c r="A1" i="67"/>
  <c r="A1" i="66"/>
  <c r="B1" i="66" s="1"/>
  <c r="C1" i="66" s="1"/>
  <c r="A1" i="64"/>
  <c r="B1" i="64" s="1"/>
  <c r="C1" i="64" s="1"/>
  <c r="A1" i="117"/>
  <c r="B1" i="117" s="1"/>
  <c r="C1" i="117" s="1"/>
  <c r="A1" i="61"/>
  <c r="B1" i="61" s="1"/>
  <c r="C1" i="61" s="1"/>
  <c r="B1" i="60"/>
  <c r="C1" i="60" s="1"/>
  <c r="A1" i="60"/>
  <c r="A1" i="127"/>
  <c r="B1" i="127" s="1"/>
  <c r="C1" i="127" s="1"/>
  <c r="B1" i="57"/>
  <c r="C1" i="57" s="1"/>
  <c r="A1" i="57"/>
  <c r="B1" i="56"/>
  <c r="C1" i="56" s="1"/>
  <c r="A1" i="56"/>
  <c r="B1" i="53"/>
  <c r="C1" i="53" s="1"/>
  <c r="A1" i="53"/>
  <c r="A1" i="52"/>
  <c r="B1" i="52" s="1"/>
  <c r="C1" i="52" s="1"/>
  <c r="B1" i="51"/>
  <c r="C1" i="51" s="1"/>
  <c r="A1" i="51"/>
  <c r="B1" i="135"/>
  <c r="C1" i="135" s="1"/>
  <c r="A1" i="135"/>
  <c r="B1" i="139"/>
  <c r="C1" i="139" s="1"/>
  <c r="A1" i="139"/>
  <c r="A1" i="49"/>
  <c r="B1" i="49" s="1"/>
  <c r="C1" i="49" s="1"/>
  <c r="B1" i="48"/>
  <c r="C1" i="48" s="1"/>
  <c r="A1" i="48"/>
  <c r="A1" i="103"/>
  <c r="B1" i="103" s="1"/>
  <c r="C1" i="103" s="1"/>
  <c r="A1" i="47"/>
  <c r="B1" i="47" s="1"/>
  <c r="C1" i="47" s="1"/>
  <c r="A1" i="116"/>
  <c r="B1" i="116" s="1"/>
  <c r="C1" i="116" s="1"/>
  <c r="B1" i="46"/>
  <c r="C1" i="46" s="1"/>
  <c r="A1" i="46"/>
  <c r="A1" i="45"/>
  <c r="B1" i="45" s="1"/>
  <c r="C1" i="45" s="1"/>
  <c r="A1" i="43"/>
  <c r="B1" i="43" s="1"/>
  <c r="C1" i="43" s="1"/>
  <c r="A1" i="39"/>
  <c r="B1" i="39" s="1"/>
  <c r="C1" i="39" s="1"/>
  <c r="B1" i="38"/>
  <c r="C1" i="38" s="1"/>
  <c r="A1" i="38"/>
  <c r="A1" i="37"/>
  <c r="B1" i="37" s="1"/>
  <c r="C1" i="37" s="1"/>
  <c r="A1" i="36"/>
  <c r="B1" i="36" s="1"/>
  <c r="C1" i="36" s="1"/>
  <c r="A1" i="129"/>
  <c r="B1" i="129" s="1"/>
  <c r="C1" i="129" s="1"/>
  <c r="A1" i="35"/>
  <c r="B1" i="35" s="1"/>
  <c r="C1" i="35" s="1"/>
  <c r="A1" i="33"/>
  <c r="B1" i="33" s="1"/>
  <c r="C1" i="33" s="1"/>
  <c r="A1" i="119"/>
  <c r="B1" i="119" s="1"/>
  <c r="C1" i="119" s="1"/>
  <c r="A1" i="31"/>
  <c r="B1" i="31" s="1"/>
  <c r="C1" i="31" s="1"/>
  <c r="A1" i="29"/>
  <c r="B1" i="29" s="1"/>
  <c r="C1" i="29" s="1"/>
  <c r="B1" i="28"/>
  <c r="C1" i="28" s="1"/>
  <c r="A1" i="28"/>
  <c r="A1" i="27"/>
  <c r="B1" i="27" s="1"/>
  <c r="C1" i="27" s="1"/>
  <c r="A1" i="130"/>
  <c r="B1" i="130" s="1"/>
  <c r="C1" i="130" s="1"/>
  <c r="A1" i="26"/>
  <c r="B1" i="26" s="1"/>
  <c r="C1" i="26" s="1"/>
  <c r="A1" i="25"/>
  <c r="B1" i="25" s="1"/>
  <c r="C1" i="25" s="1"/>
  <c r="A1" i="24"/>
  <c r="B1" i="24" s="1"/>
  <c r="C1" i="24" s="1"/>
  <c r="A1" i="23"/>
  <c r="B1" i="23" s="1"/>
  <c r="C1" i="23" s="1"/>
  <c r="A1" i="22"/>
  <c r="B1" i="22" s="1"/>
  <c r="C1" i="22" s="1"/>
  <c r="A1" i="21"/>
  <c r="B1" i="21" s="1"/>
  <c r="C1" i="21" s="1"/>
  <c r="A1" i="20"/>
  <c r="B1" i="20" s="1"/>
  <c r="C1" i="20" s="1"/>
  <c r="A1" i="19"/>
  <c r="B1" i="19" s="1"/>
  <c r="C1" i="19" s="1"/>
  <c r="A1" i="18"/>
  <c r="B1" i="18" s="1"/>
  <c r="C1" i="18" s="1"/>
  <c r="A1" i="122"/>
  <c r="B1" i="122" s="1"/>
  <c r="C1" i="122" s="1"/>
  <c r="A1" i="17"/>
  <c r="B1" i="17" s="1"/>
  <c r="C1" i="17" s="1"/>
  <c r="A1" i="16"/>
  <c r="B1" i="16" s="1"/>
  <c r="C1" i="16" s="1"/>
  <c r="A1" i="15"/>
  <c r="B1" i="15" s="1"/>
  <c r="C1" i="15" s="1"/>
  <c r="A1" i="14"/>
  <c r="B1" i="14" s="1"/>
  <c r="C1" i="14" s="1"/>
  <c r="A1" i="13"/>
  <c r="B1" i="13" s="1"/>
  <c r="C1" i="13" s="1"/>
  <c r="A1" i="12"/>
  <c r="B1" i="12" s="1"/>
  <c r="C1" i="12" s="1"/>
  <c r="A1" i="11"/>
  <c r="B1" i="11" s="1"/>
  <c r="C1" i="11" s="1"/>
  <c r="A1" i="10"/>
  <c r="B1" i="10" s="1"/>
  <c r="C1" i="10" s="1"/>
  <c r="A1" i="114"/>
  <c r="B1" i="114" s="1"/>
  <c r="C1" i="114" s="1"/>
  <c r="A1" i="7"/>
  <c r="B1" i="7" s="1"/>
  <c r="C1" i="7" s="1"/>
  <c r="A1" i="140"/>
  <c r="B1" i="140" s="1"/>
  <c r="C1" i="140" s="1"/>
  <c r="A1" i="6"/>
  <c r="B1" i="6" s="1"/>
  <c r="C1" i="6" s="1"/>
  <c r="A1" i="104"/>
  <c r="B1" i="104" s="1"/>
  <c r="C1" i="104" s="1"/>
  <c r="A1" i="8"/>
  <c r="B1" i="8" s="1"/>
  <c r="C1" i="8" s="1"/>
  <c r="C1" i="4"/>
  <c r="B1" i="4"/>
  <c r="A1" i="4"/>
  <c r="F30" i="98" a="1"/>
  <c r="BD24" i="151" l="1"/>
  <c r="CR27" i="151"/>
  <c r="CR28" i="151" s="1"/>
  <c r="CR29" i="151" s="1"/>
  <c r="CU13" i="151"/>
  <c r="CU11" i="151"/>
  <c r="CU6" i="151"/>
  <c r="BP15" i="151"/>
  <c r="CF15" i="151"/>
  <c r="CU15" i="151" s="1"/>
  <c r="CN15" i="151"/>
  <c r="CB16" i="151"/>
  <c r="BH27" i="151"/>
  <c r="BH28" i="151" s="1"/>
  <c r="BH29" i="151" s="1"/>
  <c r="CA14" i="151"/>
  <c r="I16" i="151"/>
  <c r="Y16" i="151"/>
  <c r="AG16" i="151"/>
  <c r="AQ27" i="151"/>
  <c r="AQ28" i="151" s="1"/>
  <c r="AQ29" i="151" s="1"/>
  <c r="Q27" i="151"/>
  <c r="Q28" i="151" s="1"/>
  <c r="Q29" i="151" s="1"/>
  <c r="AO27" i="151"/>
  <c r="AO28" i="151" s="1"/>
  <c r="AO29" i="151" s="1"/>
  <c r="AW27" i="151"/>
  <c r="AW28" i="151" s="1"/>
  <c r="AW29" i="151" s="1"/>
  <c r="AI17" i="151"/>
  <c r="AY17" i="151"/>
  <c r="CU3" i="151"/>
  <c r="H27" i="151"/>
  <c r="H28" i="151" s="1"/>
  <c r="H29" i="151" s="1"/>
  <c r="J27" i="151"/>
  <c r="J28" i="151" s="1"/>
  <c r="J29" i="151" s="1"/>
  <c r="Z27" i="151"/>
  <c r="Z28" i="151" s="1"/>
  <c r="Z29" i="151" s="1"/>
  <c r="AH27" i="151"/>
  <c r="AH28" i="151" s="1"/>
  <c r="AH29" i="151" s="1"/>
  <c r="AX27" i="151"/>
  <c r="AX28" i="151" s="1"/>
  <c r="AX29" i="151" s="1"/>
  <c r="AJ27" i="151"/>
  <c r="AJ28" i="151" s="1"/>
  <c r="AJ29" i="151" s="1"/>
  <c r="T27" i="151"/>
  <c r="T28" i="151" s="1"/>
  <c r="T29" i="151" s="1"/>
  <c r="AB27" i="151"/>
  <c r="AB28" i="151" s="1"/>
  <c r="AB29" i="151" s="1"/>
  <c r="AR27" i="151"/>
  <c r="AR28" i="151" s="1"/>
  <c r="AR29" i="151" s="1"/>
  <c r="AZ27" i="151"/>
  <c r="AZ28" i="151" s="1"/>
  <c r="AZ29" i="151" s="1"/>
  <c r="L15" i="151"/>
  <c r="AK22" i="151"/>
  <c r="H25" i="151"/>
  <c r="P27" i="151"/>
  <c r="P28" i="151" s="1"/>
  <c r="P29" i="151" s="1"/>
  <c r="M27" i="151"/>
  <c r="M28" i="151" s="1"/>
  <c r="M29" i="151" s="1"/>
  <c r="AC27" i="151"/>
  <c r="AC28" i="151" s="1"/>
  <c r="AC29" i="151" s="1"/>
  <c r="N16" i="151"/>
  <c r="CU16" i="151" s="1"/>
  <c r="V27" i="151"/>
  <c r="V28" i="151" s="1"/>
  <c r="V29" i="151" s="1"/>
  <c r="AD27" i="151"/>
  <c r="AD28" i="151" s="1"/>
  <c r="AD29" i="151" s="1"/>
  <c r="AL27" i="151"/>
  <c r="AL28" i="151" s="1"/>
  <c r="AL29" i="151" s="1"/>
  <c r="AT27" i="151"/>
  <c r="AT28" i="151" s="1"/>
  <c r="AT29" i="151" s="1"/>
  <c r="O27" i="151"/>
  <c r="O28" i="151" s="1"/>
  <c r="O29" i="151" s="1"/>
  <c r="W27" i="151"/>
  <c r="W28" i="151" s="1"/>
  <c r="W29" i="151" s="1"/>
  <c r="AM27" i="151"/>
  <c r="AM28" i="151" s="1"/>
  <c r="AM29" i="151" s="1"/>
  <c r="CU2" i="151"/>
  <c r="CU8" i="151"/>
  <c r="CU9" i="151"/>
  <c r="CU7" i="151"/>
  <c r="C18" i="151"/>
  <c r="CU18" i="151" s="1"/>
  <c r="CU5" i="151"/>
  <c r="CU4" i="151"/>
  <c r="CU20" i="151"/>
  <c r="CU10" i="151"/>
  <c r="CU17" i="151"/>
  <c r="CU14" i="151"/>
  <c r="CU19" i="151"/>
  <c r="CU23" i="151"/>
  <c r="CU24" i="151"/>
  <c r="CU25" i="151"/>
  <c r="B22" i="151"/>
  <c r="CU22" i="151" s="1"/>
  <c r="CU21" i="151"/>
  <c r="B29" i="151"/>
  <c r="CU27" i="151"/>
  <c r="F30" i="98"/>
  <c r="CU28" i="151" l="1"/>
  <c r="CU29" i="151" s="1"/>
  <c r="CV27" i="15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<sst xmlns="http://schemas.openxmlformats.org/spreadsheetml/2006/main" count="6263" uniqueCount="310">
  <si>
    <t>TRACKING REPORT</t>
  </si>
  <si>
    <t>Employee Name:</t>
  </si>
  <si>
    <t>Hire Date: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</si>
  <si>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</si>
  <si>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</si>
  <si>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</si>
  <si>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</si>
  <si>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</si>
  <si>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</si>
  <si>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</si>
  <si>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</si>
  <si>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</si>
  <si>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</si>
  <si>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</si>
  <si>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</si>
  <si>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Record of Attendance Warnings/Counseling</t>
  </si>
  <si>
    <t xml:space="preserve">Date </t>
  </si>
  <si>
    <t>Verbal</t>
  </si>
  <si>
    <t>Written</t>
  </si>
  <si>
    <t>Comments</t>
  </si>
  <si>
    <t>EMPLOYEE ATTENDANCE</t>
  </si>
  <si>
    <t>S = Sick</t>
  </si>
  <si>
    <t>V = Vacation</t>
  </si>
  <si>
    <t>H = Holiday</t>
  </si>
  <si>
    <t>B = Bereavement</t>
  </si>
  <si>
    <t>J = Jury Duty</t>
  </si>
  <si>
    <t>U = Unpaid Absence</t>
  </si>
  <si>
    <t>UF = Unpaid - FMLA</t>
  </si>
  <si>
    <t>O = Other (Explain Below)</t>
  </si>
  <si>
    <t>T = Tardy</t>
  </si>
  <si>
    <t>UA = Unexcused Absence</t>
  </si>
  <si>
    <t>EA = Excused Absence</t>
  </si>
  <si>
    <t>VF = Vacation - FMLA</t>
  </si>
  <si>
    <t xml:space="preserve">Akulic , Marlene </t>
  </si>
  <si>
    <t>Atkins, Reva</t>
  </si>
  <si>
    <t xml:space="preserve"> 6/22/2020</t>
  </si>
  <si>
    <t>Barnes, Eric</t>
  </si>
  <si>
    <t xml:space="preserve">Barnes, Sarah </t>
  </si>
  <si>
    <t xml:space="preserve">Bivens, Diane </t>
  </si>
  <si>
    <t xml:space="preserve">Bivens, Tammie </t>
  </si>
  <si>
    <t xml:space="preserve"> Bledsoe, A</t>
  </si>
  <si>
    <t xml:space="preserve">Amy </t>
  </si>
  <si>
    <t xml:space="preserve">Bookout , Nancy </t>
  </si>
  <si>
    <t xml:space="preserve"> Bourzac, Nanette Lo </t>
  </si>
  <si>
    <t xml:space="preserve"> 1/014/2021</t>
  </si>
  <si>
    <t xml:space="preserve"> Brooks, Tammy </t>
  </si>
  <si>
    <t>Brummett, Sebrina</t>
  </si>
  <si>
    <t xml:space="preserve"> Bryan, Sheena </t>
  </si>
  <si>
    <t xml:space="preserve">Cannon, Jennifer </t>
  </si>
  <si>
    <t xml:space="preserve">Carroll, Robin </t>
  </si>
  <si>
    <t xml:space="preserve"> Cathcart, Bess </t>
  </si>
  <si>
    <t xml:space="preserve"> Childress, Stacy </t>
  </si>
  <si>
    <t xml:space="preserve">Clark, Elizabeth </t>
  </si>
  <si>
    <t xml:space="preserve">Coburn, Lisa </t>
  </si>
  <si>
    <t xml:space="preserve">Cooley, Tammy </t>
  </si>
  <si>
    <t>Cooper, Alice</t>
  </si>
  <si>
    <t xml:space="preserve">Davis, Kimberly </t>
  </si>
  <si>
    <t xml:space="preserve">Davis, Tyler </t>
  </si>
  <si>
    <t xml:space="preserve">Dotson, Wanda </t>
  </si>
  <si>
    <t xml:space="preserve"> Dunn, Lois </t>
  </si>
  <si>
    <t xml:space="preserve">Fabriszio, Jamie </t>
  </si>
  <si>
    <t>Gibby, Benjamin</t>
  </si>
  <si>
    <t xml:space="preserve">Giddy, Deborah </t>
  </si>
  <si>
    <t xml:space="preserve">Godwin, Tonya </t>
  </si>
  <si>
    <t xml:space="preserve">Hall, Fredrick </t>
  </si>
  <si>
    <t xml:space="preserve">Hall, Mary </t>
  </si>
  <si>
    <t xml:space="preserve"> Hampton, Angela </t>
  </si>
  <si>
    <t xml:space="preserve"> 1/18/2021</t>
  </si>
  <si>
    <t>Harris, Nancy</t>
  </si>
  <si>
    <t xml:space="preserve">Harrison, Chuck </t>
  </si>
  <si>
    <t xml:space="preserve"> Headrick, Lena </t>
  </si>
  <si>
    <t xml:space="preserve">Hicks, Lisa </t>
  </si>
  <si>
    <t xml:space="preserve">Howarth, Amy </t>
  </si>
  <si>
    <t xml:space="preserve">Hunt, Nancy </t>
  </si>
  <si>
    <t xml:space="preserve">Kelly, Justin </t>
  </si>
  <si>
    <t xml:space="preserve"> 5/17/2021</t>
  </si>
  <si>
    <t xml:space="preserve">Kliever, Debbie </t>
  </si>
  <si>
    <t xml:space="preserve"> 4/05/2000</t>
  </si>
  <si>
    <t xml:space="preserve">Lee, Ginger </t>
  </si>
  <si>
    <t xml:space="preserve"> 2/09/2021</t>
  </si>
  <si>
    <t xml:space="preserve">Lorenz, Viola </t>
  </si>
  <si>
    <t xml:space="preserve"> 4/19/1994</t>
  </si>
  <si>
    <t xml:space="preserve">Marrero, Rachel </t>
  </si>
  <si>
    <t xml:space="preserve">McCluskey, Loreta </t>
  </si>
  <si>
    <t xml:space="preserve"> May, Cynthia </t>
  </si>
  <si>
    <t xml:space="preserve">McKee, Nathan </t>
  </si>
  <si>
    <t xml:space="preserve">Miller, Gary </t>
  </si>
  <si>
    <t xml:space="preserve">Mills, Gary </t>
  </si>
  <si>
    <t xml:space="preserve">Moore, Darlene </t>
  </si>
  <si>
    <t xml:space="preserve">Nichols, Brenda </t>
  </si>
  <si>
    <t xml:space="preserve">Patterson, Pamela </t>
  </si>
  <si>
    <t xml:space="preserve"> 7/19/2021</t>
  </si>
  <si>
    <t xml:space="preserve">Peels, Carolyn </t>
  </si>
  <si>
    <t xml:space="preserve">Peels, Timothy </t>
  </si>
  <si>
    <t xml:space="preserve">Poff, Jessica </t>
  </si>
  <si>
    <t xml:space="preserve">Roberts, Lisa </t>
  </si>
  <si>
    <t xml:space="preserve"> 3/08/2021</t>
  </si>
  <si>
    <t>Roberts, Lori</t>
  </si>
  <si>
    <t xml:space="preserve">Rupinski, Angela </t>
  </si>
  <si>
    <t xml:space="preserve">Schutt, Caleb </t>
  </si>
  <si>
    <t xml:space="preserve">Selby, Chasity </t>
  </si>
  <si>
    <t xml:space="preserve">Self, Janet </t>
  </si>
  <si>
    <t xml:space="preserve">Sharp, Sonia </t>
  </si>
  <si>
    <t xml:space="preserve">Shaw, Teia </t>
  </si>
  <si>
    <t xml:space="preserve"> 08/22/2011</t>
  </si>
  <si>
    <t xml:space="preserve">Stafford, Tabitha </t>
  </si>
  <si>
    <t xml:space="preserve">Thomas, Emily </t>
  </si>
  <si>
    <t xml:space="preserve">Vaughn, Gregory </t>
  </si>
  <si>
    <t xml:space="preserve">Veit, Jordan </t>
  </si>
  <si>
    <t xml:space="preserve">Watson, Dennis </t>
  </si>
  <si>
    <t xml:space="preserve">West, Sandra </t>
  </si>
  <si>
    <t xml:space="preserve">UA </t>
  </si>
  <si>
    <t>O</t>
  </si>
  <si>
    <t>V</t>
  </si>
  <si>
    <t>UA</t>
  </si>
  <si>
    <t xml:space="preserve">Left Early Unexcused </t>
  </si>
  <si>
    <t>EA</t>
  </si>
  <si>
    <t>UT</t>
  </si>
  <si>
    <t xml:space="preserve"> </t>
  </si>
  <si>
    <t>VF</t>
  </si>
  <si>
    <t xml:space="preserve">Left early unexcused </t>
  </si>
  <si>
    <t xml:space="preserve">EA </t>
  </si>
  <si>
    <t xml:space="preserve">Left Early unexcused </t>
  </si>
  <si>
    <t xml:space="preserve">Left early, unexcused </t>
  </si>
  <si>
    <t xml:space="preserve">Left Early, excused </t>
  </si>
  <si>
    <t>T</t>
  </si>
  <si>
    <t xml:space="preserve">Left EARLY EXCUSED </t>
  </si>
  <si>
    <t>T/V</t>
  </si>
  <si>
    <t xml:space="preserve"> Tardy but used 4 hrs of vac and worked through lunch, left early </t>
  </si>
  <si>
    <t xml:space="preserve">Left early excused </t>
  </si>
  <si>
    <t xml:space="preserve">Young, Karen </t>
  </si>
  <si>
    <t xml:space="preserve">Tardy unexcused </t>
  </si>
  <si>
    <t xml:space="preserve">Tardy excused, Left early unexcused </t>
  </si>
  <si>
    <t xml:space="preserve">Tardy and Left Early unexcuse </t>
  </si>
  <si>
    <t>UF</t>
  </si>
  <si>
    <t>EXCUSED</t>
  </si>
  <si>
    <t>UNEXCUSED</t>
  </si>
  <si>
    <t>Flex</t>
  </si>
  <si>
    <t>UA 1/2</t>
  </si>
  <si>
    <t>T 1/2</t>
  </si>
  <si>
    <t>FMLA</t>
  </si>
  <si>
    <t>B</t>
  </si>
  <si>
    <t>FLEX</t>
  </si>
  <si>
    <t>V - 1</t>
  </si>
  <si>
    <t>J-3.5</t>
  </si>
  <si>
    <t>T 1/4</t>
  </si>
  <si>
    <t>FLMA</t>
  </si>
  <si>
    <t xml:space="preserve">FMLA </t>
  </si>
  <si>
    <t xml:space="preserve">FLMA </t>
  </si>
  <si>
    <t xml:space="preserve">V </t>
  </si>
  <si>
    <t>Left early excused</t>
  </si>
  <si>
    <t xml:space="preserve">Tardy and left early unexcused </t>
  </si>
  <si>
    <t>W/C</t>
  </si>
  <si>
    <t>Left early excused (Workers Comp Therapy)</t>
  </si>
  <si>
    <t>Issued Verbal Warning</t>
  </si>
  <si>
    <t>Verbal warning issued</t>
  </si>
  <si>
    <t>Richesin, Joey</t>
  </si>
  <si>
    <t>LE 1/2</t>
  </si>
  <si>
    <t xml:space="preserve">Flex </t>
  </si>
  <si>
    <t xml:space="preserve"> Hicks, Shelby </t>
  </si>
  <si>
    <t xml:space="preserve"> Armstrong, Mary </t>
  </si>
  <si>
    <t xml:space="preserve">W/C </t>
  </si>
  <si>
    <t xml:space="preserve">W/C = Workers Comp </t>
  </si>
  <si>
    <t xml:space="preserve">T </t>
  </si>
  <si>
    <t>X</t>
  </si>
  <si>
    <t xml:space="preserve">ISSUED A VERBAL </t>
  </si>
  <si>
    <t>VF - 5</t>
  </si>
  <si>
    <t>V - 4</t>
  </si>
  <si>
    <t xml:space="preserve">Left ealry unexcused </t>
  </si>
  <si>
    <t xml:space="preserve">flex </t>
  </si>
  <si>
    <t>LE</t>
  </si>
  <si>
    <t>T / LE</t>
  </si>
  <si>
    <t>AE</t>
  </si>
  <si>
    <t>T1/4</t>
  </si>
  <si>
    <t>T1/2</t>
  </si>
  <si>
    <t>LE - 1</t>
  </si>
  <si>
    <t>V - 6</t>
  </si>
  <si>
    <t>V - 3</t>
  </si>
  <si>
    <t>LE - 1/2</t>
  </si>
  <si>
    <t>T - 1/2</t>
  </si>
  <si>
    <t>Scheduled before hire date</t>
  </si>
  <si>
    <t>V - 2.5</t>
  </si>
  <si>
    <t>FMLA - 6</t>
  </si>
  <si>
    <t>FMLA - 6.5</t>
  </si>
  <si>
    <t>T - 1/4</t>
  </si>
  <si>
    <t>Flex - 3</t>
  </si>
  <si>
    <t>FMLA - 2</t>
  </si>
  <si>
    <t>FMLA - 1</t>
  </si>
  <si>
    <t>V - 1.5</t>
  </si>
  <si>
    <t>Morris, Jessie</t>
  </si>
  <si>
    <t>V - 3.5</t>
  </si>
  <si>
    <t>Issued Written Warning</t>
  </si>
  <si>
    <t>Tipton, Rebecca</t>
  </si>
  <si>
    <t xml:space="preserve">Rupinski, Alexis </t>
  </si>
  <si>
    <t>Quarantine</t>
  </si>
  <si>
    <t>Quarantine (Family)</t>
  </si>
  <si>
    <t>VF - 9</t>
  </si>
  <si>
    <t>V - 5</t>
  </si>
  <si>
    <t>V - 2</t>
  </si>
  <si>
    <t>Bivens, Bethany</t>
  </si>
  <si>
    <t>Helton, Lisa</t>
  </si>
  <si>
    <t>Quarantine (family)</t>
  </si>
  <si>
    <t>McDaniel, Kaylee</t>
  </si>
  <si>
    <t>Leave of absence (start)</t>
  </si>
  <si>
    <t>LE - 0</t>
  </si>
  <si>
    <t>FMLA - 5.5</t>
  </si>
  <si>
    <t>Quarantine (Family)_</t>
  </si>
  <si>
    <t>Hurt ribs (call in vacation)</t>
  </si>
  <si>
    <t>T - 1</t>
  </si>
  <si>
    <t>fmla - 4</t>
  </si>
  <si>
    <t>V - 7.5</t>
  </si>
  <si>
    <t>Smith, Shannon</t>
  </si>
  <si>
    <t>V-FMLA</t>
  </si>
  <si>
    <t xml:space="preserve">Reagan, Sandra </t>
  </si>
  <si>
    <t>Use10 hours vacation from new accrural that starts on 10/22</t>
  </si>
  <si>
    <t>Burger, Mary</t>
  </si>
  <si>
    <t>V - 9</t>
  </si>
  <si>
    <t>Stevens, Lorie</t>
  </si>
  <si>
    <t xml:space="preserve">Schomaker, Carla </t>
  </si>
  <si>
    <t xml:space="preserve">Wells, James </t>
  </si>
  <si>
    <t xml:space="preserve">Martin, Dusty </t>
  </si>
  <si>
    <t xml:space="preserve">Givens, Robert </t>
  </si>
  <si>
    <t xml:space="preserve"> Douglas, Krystopher </t>
  </si>
  <si>
    <t>Funeral</t>
  </si>
  <si>
    <t>Parker, Jerry</t>
  </si>
  <si>
    <t>Shepherd, Christina</t>
  </si>
  <si>
    <t>Use vacation from new accrual</t>
  </si>
  <si>
    <t>Death in family</t>
  </si>
  <si>
    <t>Quit</t>
  </si>
  <si>
    <t>FMLA - 8.5</t>
  </si>
  <si>
    <t>Smith, Justin</t>
  </si>
  <si>
    <t xml:space="preserve">Kelly, Delmis </t>
  </si>
  <si>
    <t xml:space="preserve"> Ghormley, Kelly </t>
  </si>
  <si>
    <t>No call no show all week</t>
  </si>
  <si>
    <t>Termination (3 days no call no show)</t>
  </si>
  <si>
    <t>LE-1</t>
  </si>
  <si>
    <t xml:space="preserve">Rankin, Alan </t>
  </si>
  <si>
    <t>Roberts, Beverly</t>
  </si>
  <si>
    <t>V - 8</t>
  </si>
  <si>
    <t>ADA</t>
  </si>
  <si>
    <t>B - 5.5</t>
  </si>
  <si>
    <t>B - 4.5</t>
  </si>
  <si>
    <t>B - 3.5</t>
  </si>
  <si>
    <t>B - 8.5</t>
  </si>
  <si>
    <t>FMLA - 4.5</t>
  </si>
  <si>
    <t>left after he drilled hand doctor sent back to work without restrictions</t>
  </si>
  <si>
    <t>V - 9.5</t>
  </si>
  <si>
    <t>Jones, Deborah</t>
  </si>
  <si>
    <t>V 1/2</t>
  </si>
  <si>
    <t>LE - 1/1</t>
  </si>
  <si>
    <t>V-7</t>
  </si>
  <si>
    <t>V-4</t>
  </si>
  <si>
    <t>T-1/2</t>
  </si>
  <si>
    <t>V-5</t>
  </si>
  <si>
    <t>Has ADA Leave available</t>
  </si>
  <si>
    <t>Verbal warning issued by Mike Gibson</t>
  </si>
  <si>
    <t>FMLA - 5</t>
  </si>
  <si>
    <t>ADA - 1/2</t>
  </si>
  <si>
    <t xml:space="preserve">Akulic, Marlene </t>
  </si>
  <si>
    <t xml:space="preserve">Armstrong, Mary </t>
  </si>
  <si>
    <t>Barnes, Ashley</t>
  </si>
  <si>
    <t xml:space="preserve">Barnes, Eric </t>
  </si>
  <si>
    <t>Bivens, Diane</t>
  </si>
  <si>
    <t>Bivens, Tammie</t>
  </si>
  <si>
    <t xml:space="preserve">Bledsoe, Amy </t>
  </si>
  <si>
    <t xml:space="preserve">Bookout, Nancy </t>
  </si>
  <si>
    <t xml:space="preserve">Bourzac, Nanette Lo </t>
  </si>
  <si>
    <t xml:space="preserve">Brooks, Tammy </t>
  </si>
  <si>
    <t>Bryan, Sheena</t>
  </si>
  <si>
    <t>Cannon, Jennifer</t>
  </si>
  <si>
    <t xml:space="preserve">Cathcart, Bess </t>
  </si>
  <si>
    <t xml:space="preserve">Childress, Stacy </t>
  </si>
  <si>
    <t>Douglas, Krystopher</t>
  </si>
  <si>
    <t xml:space="preserve">Dunn, Lois </t>
  </si>
  <si>
    <t xml:space="preserve">Fabrizio, Jamie </t>
  </si>
  <si>
    <t xml:space="preserve">Ghormley, Kelly </t>
  </si>
  <si>
    <t xml:space="preserve">Gibby, Benjamin </t>
  </si>
  <si>
    <t xml:space="preserve">Gibby, Deborah </t>
  </si>
  <si>
    <t xml:space="preserve">Hampton, Angela </t>
  </si>
  <si>
    <t xml:space="preserve">Harris, Nancy </t>
  </si>
  <si>
    <t xml:space="preserve">Headrick, Lena </t>
  </si>
  <si>
    <t xml:space="preserve">Hicks, lisa </t>
  </si>
  <si>
    <t>Hicks, Shelby</t>
  </si>
  <si>
    <t xml:space="preserve">May, Cynthia </t>
  </si>
  <si>
    <t>McKee, Nathan</t>
  </si>
  <si>
    <t>Reagan, Sandra</t>
  </si>
  <si>
    <t>Redman, Melissa</t>
  </si>
  <si>
    <t xml:space="preserve">Richesin, Joey </t>
  </si>
  <si>
    <t xml:space="preserve">Roberts, Lori </t>
  </si>
  <si>
    <t>Rupinski, Alexis</t>
  </si>
  <si>
    <t>Smith,Justin</t>
  </si>
  <si>
    <t>Name</t>
  </si>
  <si>
    <t>Days Absent</t>
  </si>
  <si>
    <t>% Absenteeism</t>
  </si>
  <si>
    <t>% Presence</t>
  </si>
  <si>
    <t>Avg</t>
  </si>
  <si>
    <t>Std Dev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</si>
  <si>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</si>
  <si>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</si>
  <si>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</si>
  <si>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</si>
  <si>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</si>
  <si>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</si>
  <si>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</si>
  <si>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</si>
  <si>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</si>
  <si>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</si>
  <si>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</si>
  <si>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</si>
  <si>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Coef.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</si>
</sst>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12"/>
      <color theme="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right"/>
    </xf>
    <xf numFmtId="0" fontId="3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left"/>
    </xf>
    <xf numFmtId="0" fontId="6" fillId="0" borderId="0" xfId="0" applyFont="1"/>
    <xf numFmtId="0" fontId="4" fillId="0" borderId="3" xfId="0" applyFont="1" applyBorder="1" applyAlignment="1">
      <alignment horizontal="center" vertical="center"/>
    </xf>
    <xf numFmtId="0" fontId="5" fillId="0" borderId="0" xfId="0" applyFont="1"/>
    <xf numFmtId="0" fontId="12" fillId="2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4" fontId="0" fillId="0" borderId="1" xfId="0" applyNumberFormat="1" applyBorder="1"/>
    <xf numFmtId="14" fontId="0" fillId="0" borderId="0" xfId="0" applyNumberFormat="1"/>
    <xf numFmtId="16" fontId="0" fillId="0" borderId="3" xfId="0" applyNumberFormat="1" applyBorder="1" applyAlignment="1">
      <alignment horizontal="left"/>
    </xf>
    <xf numFmtId="0" fontId="3" fillId="4" borderId="3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/>
    <xf numFmtId="0" fontId="0" fillId="4" borderId="3" xfId="0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5" fillId="0" borderId="1" xfId="0" applyFont="1" applyBorder="1"/>
    <xf numFmtId="16" fontId="5" fillId="0" borderId="3" xfId="0" applyNumberFormat="1" applyFont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8" fillId="4" borderId="3" xfId="0" applyFont="1" applyFill="1" applyBorder="1"/>
    <xf numFmtId="0" fontId="8" fillId="4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5" fillId="4" borderId="3" xfId="0" applyFont="1" applyFill="1" applyBorder="1"/>
    <xf numFmtId="0" fontId="0" fillId="5" borderId="3" xfId="0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0" fontId="5" fillId="0" borderId="3" xfId="0" applyFont="1" applyBorder="1"/>
    <xf numFmtId="0" fontId="0" fillId="5" borderId="0" xfId="0" applyFill="1"/>
    <xf numFmtId="0" fontId="4" fillId="4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0" fontId="0" fillId="0" borderId="0" xfId="1" applyNumberFormat="1" applyFon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16" fontId="0" fillId="0" borderId="3" xfId="0" applyNumberForma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1" fillId="0" borderId="0" xfId="1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textRotation="90"/>
    </xf>
    <xf numFmtId="0" fontId="1" fillId="0" borderId="0" xfId="0" applyFont="1" applyAlignment="1">
      <alignment horizontal="center" textRotation="90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eetMetadata" Target="metadata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theme" Target="theme/theme1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tyles" Target="styles.xml"/><Relationship Id="rId10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EA0BD32-6321-4923-BD49-FBC6B8791D21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32DAD-69B6-4656-AE72-4D612847D22A}">
  <sheetPr codeName="Planilha98"/>
  <dimension ref="A1:CW29"/>
  <sheetViews>
    <sheetView workbookViewId="0">
      <pane xSplit="1" ySplit="1" topLeftCell="BC2" activePane="bottomRight" state="frozen"/>
      <selection pane="topRight" activeCell="B1" sqref="B1"/>
      <selection pane="bottomLeft" activeCell="A2" sqref="A2"/>
      <selection pane="bottomRight" activeCell="CY1" sqref="CY1"/>
    </sheetView>
  </sheetViews>
  <sheetFormatPr defaultRowHeight="12.5" x14ac:dyDescent="0.25"/>
  <cols>
    <col min="1" max="1" width="14" style="8" bestFit="1" customWidth="1"/>
    <col min="2" max="97" width="8.36328125" style="8" customWidth="1"/>
    <col min="98" max="98" width="8.7265625" style="8"/>
    <col min="99" max="99" width="7.7265625" style="8" customWidth="1"/>
    <col min="100" max="100" width="7.6328125" style="8" bestFit="1" customWidth="1"/>
    <col min="101" max="101" width="9" style="8" bestFit="1" customWidth="1"/>
    <col min="102" max="16384" width="8.7265625" style="8"/>
  </cols>
  <sheetData>
    <row r="1" spans="1:101" ht="98" x14ac:dyDescent="0.25">
      <c r="A1" s="65" t="s">
        <v>291</v>
      </c>
      <c r="B1" s="71" t="s">
        <v>258</v>
      </c>
      <c r="C1" s="71" t="s">
        <v>259</v>
      </c>
      <c r="D1" s="71" t="s">
        <v>34</v>
      </c>
      <c r="E1" s="70" t="s">
        <v>260</v>
      </c>
      <c r="F1" s="70" t="s">
        <v>261</v>
      </c>
      <c r="G1" s="70" t="s">
        <v>37</v>
      </c>
      <c r="H1" s="70" t="s">
        <v>199</v>
      </c>
      <c r="I1" s="70" t="s">
        <v>262</v>
      </c>
      <c r="J1" s="70" t="s">
        <v>263</v>
      </c>
      <c r="K1" s="70" t="s">
        <v>264</v>
      </c>
      <c r="L1" s="70" t="s">
        <v>265</v>
      </c>
      <c r="M1" s="70" t="s">
        <v>266</v>
      </c>
      <c r="N1" s="70" t="s">
        <v>267</v>
      </c>
      <c r="O1" s="70" t="s">
        <v>46</v>
      </c>
      <c r="P1" s="70" t="s">
        <v>268</v>
      </c>
      <c r="Q1" s="70" t="s">
        <v>215</v>
      </c>
      <c r="R1" s="70" t="s">
        <v>269</v>
      </c>
      <c r="S1" s="70" t="s">
        <v>49</v>
      </c>
      <c r="T1" s="70" t="s">
        <v>270</v>
      </c>
      <c r="U1" s="70" t="s">
        <v>271</v>
      </c>
      <c r="V1" s="70" t="s">
        <v>52</v>
      </c>
      <c r="W1" s="70" t="s">
        <v>53</v>
      </c>
      <c r="X1" s="70" t="s">
        <v>54</v>
      </c>
      <c r="Y1" s="70" t="s">
        <v>55</v>
      </c>
      <c r="Z1" s="70" t="s">
        <v>56</v>
      </c>
      <c r="AA1" s="70" t="s">
        <v>272</v>
      </c>
      <c r="AB1" s="70" t="s">
        <v>57</v>
      </c>
      <c r="AC1" s="70" t="s">
        <v>58</v>
      </c>
      <c r="AD1" s="70" t="s">
        <v>273</v>
      </c>
      <c r="AE1" s="70" t="s">
        <v>274</v>
      </c>
      <c r="AF1" s="70" t="s">
        <v>275</v>
      </c>
      <c r="AG1" s="70" t="s">
        <v>276</v>
      </c>
      <c r="AH1" s="70" t="s">
        <v>277</v>
      </c>
      <c r="AI1" s="70" t="s">
        <v>221</v>
      </c>
      <c r="AJ1" s="70" t="s">
        <v>63</v>
      </c>
      <c r="AK1" s="70" t="s">
        <v>64</v>
      </c>
      <c r="AL1" s="70" t="s">
        <v>65</v>
      </c>
      <c r="AM1" s="70" t="s">
        <v>278</v>
      </c>
      <c r="AN1" s="70" t="s">
        <v>279</v>
      </c>
      <c r="AO1" s="70" t="s">
        <v>69</v>
      </c>
      <c r="AP1" s="70" t="s">
        <v>280</v>
      </c>
      <c r="AQ1" s="70" t="s">
        <v>200</v>
      </c>
      <c r="AR1" s="70" t="s">
        <v>281</v>
      </c>
      <c r="AS1" s="70" t="s">
        <v>282</v>
      </c>
      <c r="AT1" s="70" t="s">
        <v>72</v>
      </c>
      <c r="AU1" s="70" t="s">
        <v>73</v>
      </c>
      <c r="AV1" s="70" t="s">
        <v>247</v>
      </c>
      <c r="AW1" s="70" t="s">
        <v>231</v>
      </c>
      <c r="AX1" s="70" t="s">
        <v>74</v>
      </c>
      <c r="AY1" s="70" t="s">
        <v>76</v>
      </c>
      <c r="AZ1" s="70" t="s">
        <v>78</v>
      </c>
      <c r="BA1" s="70" t="s">
        <v>80</v>
      </c>
      <c r="BB1" s="70" t="s">
        <v>82</v>
      </c>
      <c r="BC1" s="70" t="s">
        <v>220</v>
      </c>
      <c r="BD1" s="70" t="s">
        <v>283</v>
      </c>
      <c r="BE1" s="70" t="s">
        <v>83</v>
      </c>
      <c r="BF1" s="70" t="s">
        <v>202</v>
      </c>
      <c r="BG1" s="70" t="s">
        <v>284</v>
      </c>
      <c r="BH1" s="70" t="s">
        <v>86</v>
      </c>
      <c r="BI1" s="70" t="s">
        <v>87</v>
      </c>
      <c r="BJ1" s="70" t="s">
        <v>88</v>
      </c>
      <c r="BK1" s="70" t="s">
        <v>189</v>
      </c>
      <c r="BL1" s="70" t="s">
        <v>89</v>
      </c>
      <c r="BM1" s="70" t="s">
        <v>224</v>
      </c>
      <c r="BN1" s="70" t="s">
        <v>90</v>
      </c>
      <c r="BO1" s="70" t="s">
        <v>92</v>
      </c>
      <c r="BP1" s="70" t="s">
        <v>93</v>
      </c>
      <c r="BQ1" s="70" t="s">
        <v>94</v>
      </c>
      <c r="BR1" s="70" t="s">
        <v>236</v>
      </c>
      <c r="BS1" s="70" t="s">
        <v>285</v>
      </c>
      <c r="BT1" s="70" t="s">
        <v>286</v>
      </c>
      <c r="BU1" s="70" t="s">
        <v>287</v>
      </c>
      <c r="BV1" s="70" t="s">
        <v>237</v>
      </c>
      <c r="BW1" s="70" t="s">
        <v>95</v>
      </c>
      <c r="BX1" s="70" t="s">
        <v>288</v>
      </c>
      <c r="BY1" s="70" t="s">
        <v>98</v>
      </c>
      <c r="BZ1" s="70" t="s">
        <v>289</v>
      </c>
      <c r="CA1" s="70" t="s">
        <v>99</v>
      </c>
      <c r="CB1" s="70" t="s">
        <v>218</v>
      </c>
      <c r="CC1" s="70" t="s">
        <v>100</v>
      </c>
      <c r="CD1" s="70" t="s">
        <v>101</v>
      </c>
      <c r="CE1" s="70" t="s">
        <v>102</v>
      </c>
      <c r="CF1" s="70" t="s">
        <v>103</v>
      </c>
      <c r="CG1" s="70" t="s">
        <v>225</v>
      </c>
      <c r="CH1" s="70" t="s">
        <v>211</v>
      </c>
      <c r="CI1" s="70" t="s">
        <v>290</v>
      </c>
      <c r="CJ1" s="70" t="s">
        <v>105</v>
      </c>
      <c r="CK1" s="70" t="s">
        <v>217</v>
      </c>
      <c r="CL1" s="70" t="s">
        <v>106</v>
      </c>
      <c r="CM1" s="70" t="s">
        <v>192</v>
      </c>
      <c r="CN1" s="70" t="s">
        <v>107</v>
      </c>
      <c r="CO1" s="70" t="s">
        <v>108</v>
      </c>
      <c r="CP1" s="70" t="s">
        <v>109</v>
      </c>
      <c r="CQ1" s="70" t="s">
        <v>219</v>
      </c>
      <c r="CR1" s="70" t="s">
        <v>110</v>
      </c>
      <c r="CS1" s="70" t="s">
        <v>130</v>
      </c>
      <c r="CU1" s="65" t="s">
        <v>295</v>
      </c>
      <c r="CV1" s="65" t="s">
        <v>296</v>
      </c>
      <c r="CW1" s="65" t="s">
        <v>309</v>
      </c>
    </row>
    <row r="2" spans="1:101" ht="13" x14ac:dyDescent="0.25">
      <c r="A2" s="65" t="s">
        <v>297</v>
      </c>
      <c r="B2" s="8">
        <f>'Akulic, Marlene'!AH8</f>
        <v>1</v>
      </c>
      <c r="C2" s="8">
        <f>'Armstrong, Mary'!AH8</f>
        <v>0</v>
      </c>
      <c r="D2" s="8">
        <f>'Atkins, Reva'!AH8</f>
        <v>9</v>
      </c>
      <c r="E2" s="8">
        <f>'Barnes, Ashley'!AH8</f>
        <v>0</v>
      </c>
      <c r="F2" s="8">
        <f>'Barnes, Eric '!AH8</f>
        <v>6</v>
      </c>
      <c r="G2" s="8">
        <f>'Barnes, Sarah '!AH8</f>
        <v>6</v>
      </c>
      <c r="H2" s="8">
        <f>'Bivens, Bethany'!AH8</f>
        <v>0</v>
      </c>
      <c r="I2" s="8">
        <f>'Bivens, Diane'!AH8</f>
        <v>2</v>
      </c>
      <c r="J2" s="8">
        <f>'Bivens, Tammie'!AH8</f>
        <v>1</v>
      </c>
      <c r="K2" s="8">
        <f>'Bledsoe, Amy '!AH8</f>
        <v>5</v>
      </c>
      <c r="L2" s="8">
        <f>'Bookout, Nancy '!AH8</f>
        <v>5</v>
      </c>
      <c r="M2" s="8">
        <f>'Bourzac, Nanette Lo '!AH8</f>
        <v>7</v>
      </c>
      <c r="N2" s="8">
        <f>'Brooks, Tammy '!AH8</f>
        <v>6</v>
      </c>
      <c r="O2" s="8">
        <f>'Brummett, Sebrina'!AH8</f>
        <v>0</v>
      </c>
      <c r="P2" s="8">
        <f>'Bryan, Sheena'!AH8</f>
        <v>4</v>
      </c>
      <c r="Q2" s="8">
        <f>'Burger, Mary'!AH8</f>
        <v>1</v>
      </c>
      <c r="R2" s="8">
        <f>'Cannon, Jennifer'!AH8</f>
        <v>0</v>
      </c>
      <c r="S2" s="8">
        <f>'Carroll, Robin '!AH8</f>
        <v>5</v>
      </c>
      <c r="T2" s="8">
        <f>'Cathcart, Bess '!AH8</f>
        <v>1</v>
      </c>
      <c r="U2" s="8">
        <f>'Childress, Stacy '!AH8</f>
        <v>2</v>
      </c>
      <c r="V2" s="8">
        <f>'Clark, Elizabeth '!AH8</f>
        <v>3</v>
      </c>
      <c r="W2" s="8">
        <f>'Coburn, Lisa '!AH8</f>
        <v>5</v>
      </c>
      <c r="X2" s="8">
        <f>'Cooley, Tammy '!AH8</f>
        <v>4</v>
      </c>
      <c r="Y2" s="8">
        <f>'Cooper, Alice'!AH8</f>
        <v>2</v>
      </c>
      <c r="Z2" s="8">
        <f>'Davis, Kimberly '!AH8</f>
        <v>1</v>
      </c>
      <c r="AA2" s="8">
        <f>'Douglas, Krystopher'!AH8</f>
        <v>5</v>
      </c>
      <c r="AB2" s="8">
        <f>'Davis, Tyler '!AH8</f>
        <v>6</v>
      </c>
      <c r="AC2" s="8">
        <f>'Dotson, Wanda '!AH8</f>
        <v>7</v>
      </c>
      <c r="AD2" s="8">
        <f>'Dunn, Lois '!AH8</f>
        <v>5</v>
      </c>
      <c r="AE2" s="8">
        <f>'Fabrizio, Jamie '!AH8</f>
        <v>4</v>
      </c>
      <c r="AF2" s="8">
        <f>'Ghormley, Kelly '!AH8</f>
        <v>0</v>
      </c>
      <c r="AG2" s="8">
        <f>'Gibby, Benjamin '!AH8</f>
        <v>2</v>
      </c>
      <c r="AH2" s="8">
        <f>'Gibby, Deborah '!AH8</f>
        <v>2</v>
      </c>
      <c r="AI2" s="8">
        <f>'Givens, Robert '!AH8</f>
        <v>0</v>
      </c>
      <c r="AJ2" s="8">
        <f>'Godwin, Tonya '!AH8</f>
        <v>7</v>
      </c>
      <c r="AK2" s="8">
        <f>'Hall, Fredrick '!AH8</f>
        <v>2</v>
      </c>
      <c r="AL2" s="8">
        <f>'Hall, Mary '!AH8</f>
        <v>2</v>
      </c>
      <c r="AM2" s="8">
        <f>'Hampton, Angela '!AH8</f>
        <v>3</v>
      </c>
      <c r="AN2" s="8">
        <f>'Harris, Nancy '!AH8</f>
        <v>4</v>
      </c>
      <c r="AO2" s="8">
        <f>'Harrison, Chuck '!AH8</f>
        <v>0</v>
      </c>
      <c r="AP2" s="8">
        <f>'Headrick, Lena '!AH8</f>
        <v>11</v>
      </c>
      <c r="AQ2" s="8">
        <f>'Helton, Lisa'!AH8</f>
        <v>5</v>
      </c>
      <c r="AR2" s="8">
        <f>'Hicks, lisa '!AH8</f>
        <v>5</v>
      </c>
      <c r="AS2" s="8">
        <f>'Hicks, Shelby'!AH8</f>
        <v>5</v>
      </c>
      <c r="AT2" s="8">
        <f>'Howarth, Amy '!AH8</f>
        <v>5</v>
      </c>
      <c r="AU2" s="8">
        <f>'Hunt, Nancy '!AH8</f>
        <v>0</v>
      </c>
      <c r="AV2" s="8">
        <f>'Jones, Deborah'!AH8</f>
        <v>0</v>
      </c>
      <c r="AW2" s="8">
        <f>'Kelly, Delmis '!AH8</f>
        <v>0</v>
      </c>
      <c r="AX2" s="8">
        <f>'Kelly, Justin '!AH8</f>
        <v>0</v>
      </c>
      <c r="AY2" s="8">
        <f>'Kliever, Debbie '!AH8</f>
        <v>5</v>
      </c>
      <c r="AZ2" s="8">
        <f>'Lee, Ginger '!AH8</f>
        <v>4</v>
      </c>
      <c r="BA2" s="8">
        <f>'Lorenz, Viola '!AH8</f>
        <v>1</v>
      </c>
      <c r="BB2" s="8">
        <f>'Marrero, Rachel '!AH8</f>
        <v>5</v>
      </c>
      <c r="BC2" s="8">
        <f>'Martin, Dusty '!AH8</f>
        <v>0</v>
      </c>
      <c r="BD2" s="8">
        <f>'May, Cynthia '!AH8</f>
        <v>10</v>
      </c>
      <c r="BE2" s="8">
        <f>'McCluskey, Loreta '!AH8</f>
        <v>4</v>
      </c>
      <c r="BF2" s="8">
        <f>'McDaniel, Kaylee'!AH8</f>
        <v>0</v>
      </c>
      <c r="BG2" s="8">
        <f>'McKee, Nathan'!AH8</f>
        <v>3</v>
      </c>
      <c r="BH2" s="8">
        <f>'Miller, Gary '!AH8</f>
        <v>1</v>
      </c>
      <c r="BI2" s="8">
        <f>'Mills, Gary '!AH8</f>
        <v>2</v>
      </c>
      <c r="BJ2" s="8">
        <f>'Moore, Darlene '!AH8</f>
        <v>6</v>
      </c>
      <c r="BK2" s="8">
        <f>'Morris, Jessie'!AH8</f>
        <v>0</v>
      </c>
      <c r="BL2" s="8">
        <f>'Nichols, Brenda '!AH8</f>
        <v>4</v>
      </c>
      <c r="BM2" s="8">
        <f>'Parker, Jerry'!AH8</f>
        <v>0</v>
      </c>
      <c r="BN2" s="8">
        <f>'Patterson, Pamela '!AH8</f>
        <v>4</v>
      </c>
      <c r="BO2" s="8">
        <f>'Peels, Carolyn '!AH8</f>
        <v>4</v>
      </c>
      <c r="BP2" s="8">
        <f>'Peels, Timothy '!AH8</f>
        <v>1</v>
      </c>
      <c r="BQ2" s="8">
        <f>'Poff, Jessica '!AH8</f>
        <v>0</v>
      </c>
      <c r="BR2" s="8">
        <f>'Rankin, Alan '!AH8</f>
        <v>0</v>
      </c>
      <c r="BS2" s="8">
        <f>'Reagan, Sandra'!AH8</f>
        <v>0</v>
      </c>
      <c r="BT2" s="8">
        <f>'Redman, Melissa'!AH8</f>
        <v>0</v>
      </c>
      <c r="BU2" s="8">
        <f>'Richesin, Joey '!AH8</f>
        <v>0</v>
      </c>
      <c r="BV2" s="8">
        <f>'Roberts, Beverly'!AH8</f>
        <v>2</v>
      </c>
      <c r="BW2" s="8">
        <f>'Roberts, Lisa '!AH8</f>
        <v>2</v>
      </c>
      <c r="BX2" s="8">
        <f>'Roberts, Lori '!AH8</f>
        <v>3</v>
      </c>
      <c r="BY2" s="8">
        <f>'Rupinski, Angela '!AH8</f>
        <v>6</v>
      </c>
      <c r="BZ2" s="8">
        <f>'Rupinski, Alexis'!AH8</f>
        <v>0</v>
      </c>
      <c r="CA2" s="8">
        <f>'Schutt, Caleb '!AH8</f>
        <v>0</v>
      </c>
      <c r="CB2" s="8">
        <f>'Schomaker, Carla '!AH8</f>
        <v>0</v>
      </c>
      <c r="CC2" s="8">
        <f>'Selby, Chasity '!AH8</f>
        <v>1</v>
      </c>
      <c r="CD2" s="8">
        <f>'Self, Janet '!AH8</f>
        <v>6</v>
      </c>
      <c r="CE2" s="8">
        <f>'Sharp, Sonia '!AH8</f>
        <v>3</v>
      </c>
      <c r="CF2" s="8">
        <f>'Shaw, Teia '!AH8</f>
        <v>5</v>
      </c>
      <c r="CG2" s="8">
        <f>'Shepherd, Christina'!AH8</f>
        <v>0</v>
      </c>
      <c r="CH2" s="8">
        <f>'Smith, Shannon'!AH8</f>
        <v>0</v>
      </c>
      <c r="CI2" s="8">
        <f>'Smith,Justin'!AH8</f>
        <v>0</v>
      </c>
      <c r="CJ2" s="8">
        <f>'Stafford, Tabitha '!AH8</f>
        <v>4</v>
      </c>
      <c r="CK2" s="8">
        <f>'Stevens, Lorie'!AH8</f>
        <v>0</v>
      </c>
      <c r="CL2" s="8">
        <f>'Thomas, Emily '!AH8</f>
        <v>1</v>
      </c>
      <c r="CM2" s="8">
        <f>'Tipton, Rebecca'!AH8</f>
        <v>0</v>
      </c>
      <c r="CN2" s="8">
        <f>'Vaughn, Gregory '!AH8</f>
        <v>0</v>
      </c>
      <c r="CO2" s="8">
        <f>'Veit, Jordan '!AH8</f>
        <v>10</v>
      </c>
      <c r="CP2" s="8">
        <f>'Watson, Dennis '!AH8</f>
        <v>1</v>
      </c>
      <c r="CQ2" s="8">
        <f>'Wells, James '!AH8</f>
        <v>0</v>
      </c>
      <c r="CR2" s="8">
        <f>'West, Sandra '!AH8</f>
        <v>4</v>
      </c>
      <c r="CS2" s="8">
        <f>'Young, Karen '!AH8</f>
        <v>0</v>
      </c>
      <c r="CU2" s="67">
        <f t="shared" ref="CU2:CU13" si="0">AVERAGE(B2:CS2)</f>
        <v>2.6875</v>
      </c>
      <c r="CV2" s="67">
        <f t="shared" ref="CV2:CV13" si="1">_xlfn.STDEV.S(B2:CS2)</f>
        <v>2.7234362968789805</v>
      </c>
      <c r="CW2" s="67">
        <f>CV2/CU2</f>
        <v>1.0133716453503183</v>
      </c>
    </row>
    <row r="3" spans="1:101" ht="13" x14ac:dyDescent="0.25">
      <c r="A3" s="65" t="s">
        <v>298</v>
      </c>
      <c r="B3" s="8">
        <f>'Akulic, Marlene'!AH9</f>
        <v>4</v>
      </c>
      <c r="C3" s="8">
        <f>'Armstrong, Mary'!AH9</f>
        <v>0</v>
      </c>
      <c r="D3" s="8">
        <f>'Atkins, Reva'!AH9</f>
        <v>1</v>
      </c>
      <c r="E3" s="8">
        <f>'Barnes, Ashley'!AH9</f>
        <v>0</v>
      </c>
      <c r="F3" s="8">
        <f>'Barnes, Eric '!AH9</f>
        <v>6</v>
      </c>
      <c r="G3" s="8">
        <f>'Barnes, Sarah '!AH9</f>
        <v>6</v>
      </c>
      <c r="H3" s="8">
        <f>'Bivens, Bethany'!AH9</f>
        <v>0</v>
      </c>
      <c r="I3" s="8">
        <f>'Bivens, Diane'!AH9</f>
        <v>2</v>
      </c>
      <c r="J3" s="8">
        <f>'Bivens, Tammie'!AH9</f>
        <v>1</v>
      </c>
      <c r="K3" s="8">
        <f>'Bledsoe, Amy '!AH9</f>
        <v>5</v>
      </c>
      <c r="L3" s="8">
        <f>'Bookout, Nancy '!AH9</f>
        <v>0</v>
      </c>
      <c r="M3" s="8">
        <f>'Bourzac, Nanette Lo '!AH9</f>
        <v>2</v>
      </c>
      <c r="N3" s="8">
        <f>'Brooks, Tammy '!AH9</f>
        <v>5</v>
      </c>
      <c r="O3" s="8">
        <f>'Brummett, Sebrina'!AH9</f>
        <v>0</v>
      </c>
      <c r="P3" s="8">
        <f>'Bryan, Sheena'!AH9</f>
        <v>3</v>
      </c>
      <c r="Q3" s="8">
        <f>'Burger, Mary'!AH9</f>
        <v>0</v>
      </c>
      <c r="R3" s="8">
        <f>'Cannon, Jennifer'!AH9</f>
        <v>3</v>
      </c>
      <c r="S3" s="8">
        <f>'Carroll, Robin '!AH9</f>
        <v>1</v>
      </c>
      <c r="T3" s="8">
        <f>'Cathcart, Bess '!AH9</f>
        <v>1</v>
      </c>
      <c r="U3" s="8">
        <f>'Childress, Stacy '!AH9</f>
        <v>3</v>
      </c>
      <c r="V3" s="8">
        <f>'Clark, Elizabeth '!AH9</f>
        <v>2</v>
      </c>
      <c r="W3" s="8">
        <f>'Coburn, Lisa '!AH9</f>
        <v>2</v>
      </c>
      <c r="X3" s="8">
        <f>'Cooley, Tammy '!AH9</f>
        <v>4</v>
      </c>
      <c r="Y3" s="8">
        <f>'Cooper, Alice'!AH9</f>
        <v>0</v>
      </c>
      <c r="Z3" s="8">
        <f>'Davis, Kimberly '!AH9</f>
        <v>1</v>
      </c>
      <c r="AA3" s="8">
        <f>'Douglas, Krystopher'!AH9</f>
        <v>2</v>
      </c>
      <c r="AB3" s="8">
        <f>'Davis, Tyler '!AH9</f>
        <v>0</v>
      </c>
      <c r="AC3" s="8">
        <f>'Dotson, Wanda '!AH9</f>
        <v>3</v>
      </c>
      <c r="AD3" s="8">
        <f>'Dunn, Lois '!AH9</f>
        <v>2</v>
      </c>
      <c r="AE3" s="8">
        <f>'Fabrizio, Jamie '!AH9</f>
        <v>1</v>
      </c>
      <c r="AF3" s="8">
        <f>'Ghormley, Kelly '!AH9</f>
        <v>0</v>
      </c>
      <c r="AG3" s="8">
        <f>'Gibby, Benjamin '!AH9</f>
        <v>1</v>
      </c>
      <c r="AH3" s="8">
        <f>'Gibby, Deborah '!AH9</f>
        <v>1</v>
      </c>
      <c r="AI3" s="8">
        <f>'Givens, Robert '!AH9</f>
        <v>0</v>
      </c>
      <c r="AJ3" s="8">
        <f>'Godwin, Tonya '!AH9</f>
        <v>1</v>
      </c>
      <c r="AK3" s="8">
        <f>'Hall, Fredrick '!AH9</f>
        <v>2</v>
      </c>
      <c r="AL3" s="8">
        <f>'Hall, Mary '!AH9</f>
        <v>0</v>
      </c>
      <c r="AM3" s="8">
        <f>'Hampton, Angela '!AH9</f>
        <v>6</v>
      </c>
      <c r="AN3" s="8">
        <f>'Harris, Nancy '!AH9</f>
        <v>2</v>
      </c>
      <c r="AO3" s="8">
        <f>'Harrison, Chuck '!AH9</f>
        <v>0</v>
      </c>
      <c r="AP3" s="8">
        <f>'Headrick, Lena '!AH9</f>
        <v>9</v>
      </c>
      <c r="AQ3" s="8">
        <f>'Helton, Lisa'!AH9</f>
        <v>3</v>
      </c>
      <c r="AR3" s="8">
        <f>'Hicks, lisa '!AH9</f>
        <v>6</v>
      </c>
      <c r="AS3" s="8">
        <f>'Hicks, Shelby'!AH9</f>
        <v>3</v>
      </c>
      <c r="AT3" s="8">
        <f>'Howarth, Amy '!AH9</f>
        <v>3</v>
      </c>
      <c r="AU3" s="8">
        <f>'Hunt, Nancy '!AH9</f>
        <v>1</v>
      </c>
      <c r="AV3" s="8">
        <f>'Jones, Deborah'!AH9</f>
        <v>0</v>
      </c>
      <c r="AW3" s="8">
        <f>'Kelly, Delmis '!AH9</f>
        <v>2</v>
      </c>
      <c r="AX3" s="8">
        <f>'Kelly, Justin '!AH9</f>
        <v>2</v>
      </c>
      <c r="AY3" s="8">
        <f>'Kliever, Debbie '!AH9</f>
        <v>10</v>
      </c>
      <c r="AZ3" s="8">
        <f>'Lee, Ginger '!AH9</f>
        <v>1</v>
      </c>
      <c r="BA3" s="8">
        <f>'Lorenz, Viola '!AH9</f>
        <v>2</v>
      </c>
      <c r="BB3" s="8">
        <f>'Marrero, Rachel '!AH9</f>
        <v>2</v>
      </c>
      <c r="BC3" s="8">
        <f>'Martin, Dusty '!AH9</f>
        <v>0</v>
      </c>
      <c r="BD3" s="8">
        <f>'May, Cynthia '!AH9</f>
        <v>5</v>
      </c>
      <c r="BE3" s="8">
        <f>'McCluskey, Loreta '!AH9</f>
        <v>3</v>
      </c>
      <c r="BF3" s="8">
        <f>'McDaniel, Kaylee'!AH9</f>
        <v>0</v>
      </c>
      <c r="BG3" s="8">
        <f>'McKee, Nathan'!AH9</f>
        <v>1</v>
      </c>
      <c r="BH3" s="8">
        <f>'Miller, Gary '!AH9</f>
        <v>0</v>
      </c>
      <c r="BI3" s="8">
        <f>'Mills, Gary '!AH9</f>
        <v>4</v>
      </c>
      <c r="BJ3" s="8">
        <f>'Moore, Darlene '!AH9</f>
        <v>0</v>
      </c>
      <c r="BK3" s="8">
        <f>'Morris, Jessie'!AH9</f>
        <v>0</v>
      </c>
      <c r="BL3" s="8">
        <f>'Nichols, Brenda '!AH9</f>
        <v>0</v>
      </c>
      <c r="BM3" s="8">
        <f>'Parker, Jerry'!AH9</f>
        <v>0</v>
      </c>
      <c r="BN3" s="8">
        <f>'Patterson, Pamela '!AH9</f>
        <v>1</v>
      </c>
      <c r="BO3" s="8">
        <f>'Peels, Carolyn '!AH9</f>
        <v>2</v>
      </c>
      <c r="BP3" s="8">
        <f>'Peels, Timothy '!AH9</f>
        <v>1</v>
      </c>
      <c r="BQ3" s="8">
        <f>'Poff, Jessica '!AH9</f>
        <v>1</v>
      </c>
      <c r="BR3" s="8">
        <f>'Rankin, Alan '!AH9</f>
        <v>1</v>
      </c>
      <c r="BS3" s="8">
        <f>'Reagan, Sandra'!AH9</f>
        <v>1</v>
      </c>
      <c r="BT3" s="8">
        <f>'Redman, Melissa'!AH9</f>
        <v>0</v>
      </c>
      <c r="BU3" s="8">
        <f>'Richesin, Joey '!AH9</f>
        <v>0</v>
      </c>
      <c r="BV3" s="8">
        <f>'Roberts, Beverly'!AH9</f>
        <v>1</v>
      </c>
      <c r="BW3" s="8">
        <f>'Roberts, Lisa '!AH9</f>
        <v>1</v>
      </c>
      <c r="BX3" s="8">
        <f>'Roberts, Lori '!AH9</f>
        <v>1</v>
      </c>
      <c r="BY3" s="8">
        <f>'Rupinski, Angela '!AH9</f>
        <v>1</v>
      </c>
      <c r="BZ3" s="8">
        <f>'Rupinski, Alexis'!AH9</f>
        <v>0</v>
      </c>
      <c r="CA3" s="8">
        <f>'Schutt, Caleb '!AH9</f>
        <v>2</v>
      </c>
      <c r="CB3" s="8">
        <f>'Schomaker, Carla '!AH9</f>
        <v>0</v>
      </c>
      <c r="CC3" s="8">
        <f>'Selby, Chasity '!AH9</f>
        <v>2</v>
      </c>
      <c r="CD3" s="8">
        <f>'Self, Janet '!AH9</f>
        <v>0</v>
      </c>
      <c r="CE3" s="8">
        <f>'Sharp, Sonia '!AH9</f>
        <v>0</v>
      </c>
      <c r="CF3" s="8">
        <f>'Shaw, Teia '!AH9</f>
        <v>1</v>
      </c>
      <c r="CG3" s="8">
        <f>'Shepherd, Christina'!AH9</f>
        <v>0</v>
      </c>
      <c r="CH3" s="8">
        <f>'Smith, Shannon'!AH9</f>
        <v>0</v>
      </c>
      <c r="CI3" s="8">
        <f>'Smith,Justin'!AH9</f>
        <v>0</v>
      </c>
      <c r="CJ3" s="8">
        <f>'Stafford, Tabitha '!AH9</f>
        <v>6</v>
      </c>
      <c r="CK3" s="8">
        <f>'Stevens, Lorie'!AH9</f>
        <v>0</v>
      </c>
      <c r="CL3" s="8">
        <f>'Thomas, Emily '!AH9</f>
        <v>2</v>
      </c>
      <c r="CM3" s="8">
        <f>'Tipton, Rebecca'!AH9</f>
        <v>0</v>
      </c>
      <c r="CN3" s="8">
        <f>'Vaughn, Gregory '!AH9</f>
        <v>0</v>
      </c>
      <c r="CO3" s="8">
        <f>'Veit, Jordan '!AH9</f>
        <v>5</v>
      </c>
      <c r="CP3" s="8">
        <f>'Watson, Dennis '!AH9</f>
        <v>3</v>
      </c>
      <c r="CQ3" s="8">
        <f>'Wells, James '!AH9</f>
        <v>0</v>
      </c>
      <c r="CR3" s="8">
        <f>'West, Sandra '!AH9</f>
        <v>1</v>
      </c>
      <c r="CS3" s="8">
        <f>'Young, Karen '!AH9</f>
        <v>0</v>
      </c>
      <c r="CU3" s="67">
        <f t="shared" si="0"/>
        <v>1.6979166666666667</v>
      </c>
      <c r="CV3" s="67">
        <f t="shared" si="1"/>
        <v>2.0525711304639445</v>
      </c>
      <c r="CW3" s="67">
        <f t="shared" ref="CW3:CW27" si="2">CV3/CU3</f>
        <v>1.2088762486168017</v>
      </c>
    </row>
    <row r="4" spans="1:101" ht="13" x14ac:dyDescent="0.25">
      <c r="A4" s="65" t="s">
        <v>299</v>
      </c>
      <c r="B4" s="8">
        <f>'Akulic, Marlene'!AH10</f>
        <v>1</v>
      </c>
      <c r="C4" s="8">
        <f>'Armstrong, Mary'!AH10</f>
        <v>0</v>
      </c>
      <c r="D4" s="8">
        <f>'Atkins, Reva'!AH10</f>
        <v>2</v>
      </c>
      <c r="E4" s="8">
        <f>'Barnes, Ashley'!AH10</f>
        <v>0</v>
      </c>
      <c r="F4" s="8">
        <f>'Barnes, Eric '!AH10</f>
        <v>0</v>
      </c>
      <c r="G4" s="8">
        <f>'Barnes, Sarah '!AH10</f>
        <v>0</v>
      </c>
      <c r="H4" s="8">
        <f>'Bivens, Bethany'!AH10</f>
        <v>0</v>
      </c>
      <c r="I4" s="8">
        <f>'Bivens, Diane'!AH10</f>
        <v>2</v>
      </c>
      <c r="J4" s="8">
        <f>'Bivens, Tammie'!AH10</f>
        <v>2</v>
      </c>
      <c r="K4" s="8">
        <f>'Bledsoe, Amy '!AH10</f>
        <v>3</v>
      </c>
      <c r="L4" s="8">
        <f>'Bookout, Nancy '!AH10</f>
        <v>0</v>
      </c>
      <c r="M4" s="8">
        <f>'Bourzac, Nanette Lo '!AH10</f>
        <v>2</v>
      </c>
      <c r="N4" s="8">
        <f>'Brooks, Tammy '!AH10</f>
        <v>8</v>
      </c>
      <c r="O4" s="8">
        <f>'Brummett, Sebrina'!AH10</f>
        <v>0</v>
      </c>
      <c r="P4" s="8">
        <f>'Bryan, Sheena'!AH10</f>
        <v>2</v>
      </c>
      <c r="Q4" s="8">
        <f>'Burger, Mary'!AH10</f>
        <v>0</v>
      </c>
      <c r="R4" s="8">
        <f>'Cannon, Jennifer'!AH10</f>
        <v>7</v>
      </c>
      <c r="S4" s="8">
        <f>'Carroll, Robin '!AH10</f>
        <v>3</v>
      </c>
      <c r="T4" s="8">
        <f>'Cathcart, Bess '!AH10</f>
        <v>4</v>
      </c>
      <c r="U4" s="8">
        <f>'Childress, Stacy '!AH10</f>
        <v>1</v>
      </c>
      <c r="V4" s="8">
        <f>'Clark, Elizabeth '!AH10</f>
        <v>7</v>
      </c>
      <c r="W4" s="8">
        <f>'Coburn, Lisa '!AH10</f>
        <v>10</v>
      </c>
      <c r="X4" s="8">
        <f>'Cooley, Tammy '!AH10</f>
        <v>0</v>
      </c>
      <c r="Y4" s="8">
        <f>'Cooper, Alice'!AH10</f>
        <v>1</v>
      </c>
      <c r="Z4" s="8">
        <f>'Davis, Kimberly '!AH10</f>
        <v>4</v>
      </c>
      <c r="AA4" s="8">
        <f>'Douglas, Krystopher'!AH10</f>
        <v>2</v>
      </c>
      <c r="AB4" s="8">
        <f>'Davis, Tyler '!AH10</f>
        <v>0</v>
      </c>
      <c r="AC4" s="8">
        <f>'Dotson, Wanda '!AH10</f>
        <v>4</v>
      </c>
      <c r="AD4" s="8">
        <f>'Dunn, Lois '!AH10</f>
        <v>2</v>
      </c>
      <c r="AE4" s="8">
        <f>'Fabrizio, Jamie '!AH10</f>
        <v>1</v>
      </c>
      <c r="AF4" s="8">
        <f>'Ghormley, Kelly '!AH10</f>
        <v>0</v>
      </c>
      <c r="AG4" s="8">
        <f>'Gibby, Benjamin '!AH10</f>
        <v>0</v>
      </c>
      <c r="AH4" s="8">
        <f>'Gibby, Deborah '!AH10</f>
        <v>0</v>
      </c>
      <c r="AI4" s="8">
        <f>'Givens, Robert '!AH10</f>
        <v>0</v>
      </c>
      <c r="AJ4" s="8">
        <f>'Godwin, Tonya '!AH10</f>
        <v>4</v>
      </c>
      <c r="AK4" s="8">
        <f>'Hall, Fredrick '!AH10</f>
        <v>2</v>
      </c>
      <c r="AL4" s="8">
        <f>'Hall, Mary '!AH10</f>
        <v>4</v>
      </c>
      <c r="AM4" s="8">
        <f>'Hampton, Angela '!AH10</f>
        <v>16</v>
      </c>
      <c r="AN4" s="8">
        <f>'Harris, Nancy '!AH10</f>
        <v>5</v>
      </c>
      <c r="AO4" s="8">
        <f>'Harrison, Chuck '!AH10</f>
        <v>0</v>
      </c>
      <c r="AP4" s="8">
        <f>'Headrick, Lena '!AH10</f>
        <v>19</v>
      </c>
      <c r="AQ4" s="8">
        <f>'Helton, Lisa'!AH10</f>
        <v>2</v>
      </c>
      <c r="AR4" s="8">
        <f>'Hicks, lisa '!AH10</f>
        <v>7</v>
      </c>
      <c r="AS4" s="8">
        <f>'Hicks, Shelby'!AH10</f>
        <v>2</v>
      </c>
      <c r="AT4" s="8">
        <f>'Howarth, Amy '!AH10</f>
        <v>2</v>
      </c>
      <c r="AU4" s="8">
        <f>'Hunt, Nancy '!AH10</f>
        <v>0</v>
      </c>
      <c r="AV4" s="8">
        <f>'Jones, Deborah'!AH10</f>
        <v>0</v>
      </c>
      <c r="AW4" s="8">
        <f>'Kelly, Delmis '!AH10</f>
        <v>0</v>
      </c>
      <c r="AX4" s="8">
        <f>'Kelly, Justin '!AH10</f>
        <v>0</v>
      </c>
      <c r="AY4" s="8">
        <f>'Kliever, Debbie '!AH10</f>
        <v>1</v>
      </c>
      <c r="AZ4" s="8">
        <f>'Lee, Ginger '!AH10</f>
        <v>4</v>
      </c>
      <c r="BA4" s="8">
        <f>'Lorenz, Viola '!AH10</f>
        <v>10</v>
      </c>
      <c r="BB4" s="8">
        <f>'Marrero, Rachel '!AH10</f>
        <v>4</v>
      </c>
      <c r="BC4" s="8">
        <f>'Martin, Dusty '!AH10</f>
        <v>0</v>
      </c>
      <c r="BD4" s="8">
        <f>'May, Cynthia '!AH10</f>
        <v>8</v>
      </c>
      <c r="BE4" s="8">
        <f>'McCluskey, Loreta '!AH10</f>
        <v>3</v>
      </c>
      <c r="BF4" s="8">
        <f>'McDaniel, Kaylee'!AH10</f>
        <v>0</v>
      </c>
      <c r="BG4" s="8">
        <f>'McKee, Nathan'!AH10</f>
        <v>2</v>
      </c>
      <c r="BH4" s="8">
        <f>'Miller, Gary '!AH10</f>
        <v>3</v>
      </c>
      <c r="BI4" s="8">
        <f>'Mills, Gary '!AH10</f>
        <v>2</v>
      </c>
      <c r="BJ4" s="8">
        <f>'Moore, Darlene '!AH10</f>
        <v>9</v>
      </c>
      <c r="BK4" s="8">
        <f>'Morris, Jessie'!AH10</f>
        <v>0</v>
      </c>
      <c r="BL4" s="8">
        <f>'Nichols, Brenda '!AH10</f>
        <v>6</v>
      </c>
      <c r="BM4" s="8">
        <f>'Parker, Jerry'!AH10</f>
        <v>0</v>
      </c>
      <c r="BN4" s="8">
        <f>'Patterson, Pamela '!AH10</f>
        <v>4</v>
      </c>
      <c r="BO4" s="8">
        <f>'Peels, Carolyn '!AH10</f>
        <v>2</v>
      </c>
      <c r="BP4" s="8">
        <f>'Peels, Timothy '!AH10</f>
        <v>1</v>
      </c>
      <c r="BQ4" s="8">
        <f>'Poff, Jessica '!AH10</f>
        <v>2</v>
      </c>
      <c r="BR4" s="8">
        <f>'Rankin, Alan '!AH10</f>
        <v>2</v>
      </c>
      <c r="BS4" s="8">
        <f>'Reagan, Sandra'!AH10</f>
        <v>2</v>
      </c>
      <c r="BT4" s="8">
        <f>'Redman, Melissa'!AH10</f>
        <v>0</v>
      </c>
      <c r="BU4" s="8">
        <f>'Richesin, Joey '!AH10</f>
        <v>0</v>
      </c>
      <c r="BV4" s="8">
        <f>'Roberts, Beverly'!AH10</f>
        <v>2</v>
      </c>
      <c r="BW4" s="8">
        <f>'Roberts, Lisa '!AH10</f>
        <v>2</v>
      </c>
      <c r="BX4" s="8">
        <f>'Roberts, Lori '!AH10</f>
        <v>4</v>
      </c>
      <c r="BY4" s="8">
        <f>'Rupinski, Angela '!AH10</f>
        <v>1</v>
      </c>
      <c r="BZ4" s="8">
        <f>'Rupinski, Alexis'!AH10</f>
        <v>0</v>
      </c>
      <c r="CA4" s="8">
        <f>'Schutt, Caleb '!AH10</f>
        <v>2</v>
      </c>
      <c r="CB4" s="8">
        <f>'Schomaker, Carla '!AH10</f>
        <v>0</v>
      </c>
      <c r="CC4" s="8">
        <f>'Selby, Chasity '!AH10</f>
        <v>3</v>
      </c>
      <c r="CD4" s="8">
        <f>'Self, Janet '!AH10</f>
        <v>2</v>
      </c>
      <c r="CE4" s="8">
        <f>'Sharp, Sonia '!AH10</f>
        <v>2</v>
      </c>
      <c r="CF4" s="8">
        <f>'Shaw, Teia '!AH10</f>
        <v>2</v>
      </c>
      <c r="CG4" s="8">
        <f>'Shepherd, Christina'!AH10</f>
        <v>0</v>
      </c>
      <c r="CH4" s="8">
        <f>'Smith, Shannon'!AH10</f>
        <v>0</v>
      </c>
      <c r="CI4" s="8">
        <f>'Smith,Justin'!AH10</f>
        <v>0</v>
      </c>
      <c r="CJ4" s="8">
        <f>'Stafford, Tabitha '!AH10</f>
        <v>4</v>
      </c>
      <c r="CK4" s="8">
        <f>'Stevens, Lorie'!AH10</f>
        <v>0</v>
      </c>
      <c r="CL4" s="8">
        <f>'Thomas, Emily '!AH10</f>
        <v>2</v>
      </c>
      <c r="CM4" s="8">
        <f>'Tipton, Rebecca'!AH10</f>
        <v>0</v>
      </c>
      <c r="CN4" s="8">
        <f>'Vaughn, Gregory '!AH10</f>
        <v>0</v>
      </c>
      <c r="CO4" s="8">
        <f>'Veit, Jordan '!AH10</f>
        <v>10</v>
      </c>
      <c r="CP4" s="8">
        <f>'Watson, Dennis '!AH10</f>
        <v>1</v>
      </c>
      <c r="CQ4" s="8">
        <f>'Wells, James '!AH10</f>
        <v>0</v>
      </c>
      <c r="CR4" s="8">
        <f>'West, Sandra '!AH10</f>
        <v>1</v>
      </c>
      <c r="CS4" s="8">
        <f>'Young, Karen '!AH10</f>
        <v>0</v>
      </c>
      <c r="CU4" s="67">
        <f t="shared" si="0"/>
        <v>2.4375</v>
      </c>
      <c r="CV4" s="67">
        <f t="shared" si="1"/>
        <v>3.3617429689780991</v>
      </c>
      <c r="CW4" s="67">
        <f t="shared" si="2"/>
        <v>1.3791766026576817</v>
      </c>
    </row>
    <row r="5" spans="1:101" ht="13" x14ac:dyDescent="0.25">
      <c r="A5" s="65" t="s">
        <v>300</v>
      </c>
      <c r="B5" s="8">
        <f>'Akulic, Marlene'!AH11</f>
        <v>0</v>
      </c>
      <c r="C5" s="8">
        <f>'Armstrong, Mary'!AH11</f>
        <v>3</v>
      </c>
      <c r="D5" s="8">
        <f>'Atkins, Reva'!AH11</f>
        <v>0</v>
      </c>
      <c r="E5" s="8">
        <f>'Barnes, Ashley'!AH11</f>
        <v>0</v>
      </c>
      <c r="F5" s="8">
        <f>'Barnes, Eric '!AH11</f>
        <v>1</v>
      </c>
      <c r="G5" s="8">
        <f>'Barnes, Sarah '!AH11</f>
        <v>1</v>
      </c>
      <c r="H5" s="8">
        <f>'Bivens, Bethany'!AH11</f>
        <v>0</v>
      </c>
      <c r="I5" s="8">
        <f>'Bivens, Diane'!AH11</f>
        <v>1</v>
      </c>
      <c r="J5" s="8">
        <f>'Bivens, Tammie'!AH11</f>
        <v>3</v>
      </c>
      <c r="K5" s="8">
        <f>'Bledsoe, Amy '!AH11</f>
        <v>2</v>
      </c>
      <c r="L5" s="8">
        <f>'Bookout, Nancy '!AH11</f>
        <v>2</v>
      </c>
      <c r="M5" s="8">
        <f>'Bourzac, Nanette Lo '!AH11</f>
        <v>3</v>
      </c>
      <c r="N5" s="8">
        <f>'Brooks, Tammy '!AH11</f>
        <v>6</v>
      </c>
      <c r="O5" s="8">
        <f>'Brummett, Sebrina'!AH11</f>
        <v>2</v>
      </c>
      <c r="P5" s="8">
        <f>'Bryan, Sheena'!AH11</f>
        <v>1</v>
      </c>
      <c r="Q5" s="8">
        <f>'Burger, Mary'!AH11</f>
        <v>0</v>
      </c>
      <c r="R5" s="8">
        <f>'Cannon, Jennifer'!AH11</f>
        <v>3</v>
      </c>
      <c r="S5" s="8">
        <f>'Carroll, Robin '!AH11</f>
        <v>11</v>
      </c>
      <c r="T5" s="8">
        <f>'Cathcart, Bess '!AH11</f>
        <v>5</v>
      </c>
      <c r="U5" s="8">
        <f>'Childress, Stacy '!AH11</f>
        <v>1</v>
      </c>
      <c r="V5" s="8">
        <f>'Clark, Elizabeth '!AH11</f>
        <v>1</v>
      </c>
      <c r="W5" s="8">
        <f>'Coburn, Lisa '!AH11</f>
        <v>6</v>
      </c>
      <c r="X5" s="8">
        <f>'Cooley, Tammy '!AH11</f>
        <v>0</v>
      </c>
      <c r="Y5" s="8">
        <f>'Cooper, Alice'!AH11</f>
        <v>0</v>
      </c>
      <c r="Z5" s="8">
        <f>'Davis, Kimberly '!AH11</f>
        <v>2</v>
      </c>
      <c r="AA5" s="8">
        <f>'Douglas, Krystopher'!AH11</f>
        <v>3</v>
      </c>
      <c r="AB5" s="8">
        <f>'Davis, Tyler '!AH11</f>
        <v>2</v>
      </c>
      <c r="AC5" s="8">
        <f>'Dotson, Wanda '!AH11</f>
        <v>0</v>
      </c>
      <c r="AD5" s="8">
        <f>'Dunn, Lois '!AH11</f>
        <v>3</v>
      </c>
      <c r="AE5" s="8">
        <f>'Fabrizio, Jamie '!AH11</f>
        <v>1</v>
      </c>
      <c r="AF5" s="8">
        <f>'Ghormley, Kelly '!AH11</f>
        <v>0</v>
      </c>
      <c r="AG5" s="8">
        <f>'Gibby, Benjamin '!AH11</f>
        <v>0</v>
      </c>
      <c r="AH5" s="8">
        <f>'Gibby, Deborah '!AH11</f>
        <v>0</v>
      </c>
      <c r="AI5" s="8">
        <f>'Givens, Robert '!AH11</f>
        <v>0</v>
      </c>
      <c r="AJ5" s="8">
        <f>'Godwin, Tonya '!AH11</f>
        <v>4</v>
      </c>
      <c r="AK5" s="8">
        <f>'Hall, Fredrick '!AH11</f>
        <v>1</v>
      </c>
      <c r="AL5" s="8">
        <f>'Hall, Mary '!AH11</f>
        <v>2</v>
      </c>
      <c r="AM5" s="8">
        <f>'Hampton, Angela '!AH11</f>
        <v>16</v>
      </c>
      <c r="AN5" s="8">
        <f>'Harris, Nancy '!AH11</f>
        <v>4</v>
      </c>
      <c r="AO5" s="8">
        <f>'Harrison, Chuck '!AH11</f>
        <v>3</v>
      </c>
      <c r="AP5" s="8">
        <f>'Headrick, Lena '!AH11</f>
        <v>16</v>
      </c>
      <c r="AQ5" s="8">
        <f>'Helton, Lisa'!AH11</f>
        <v>0</v>
      </c>
      <c r="AR5" s="8">
        <f>'Hicks, lisa '!AH11</f>
        <v>3</v>
      </c>
      <c r="AS5" s="8">
        <f>'Hicks, Shelby'!AH11</f>
        <v>0</v>
      </c>
      <c r="AT5" s="8">
        <f>'Howarth, Amy '!AH11</f>
        <v>1</v>
      </c>
      <c r="AU5" s="8">
        <f>'Hunt, Nancy '!AH11</f>
        <v>0</v>
      </c>
      <c r="AV5" s="8">
        <f>'Jones, Deborah'!AH11</f>
        <v>0</v>
      </c>
      <c r="AW5" s="8">
        <f>'Kelly, Delmis '!AH11</f>
        <v>1</v>
      </c>
      <c r="AX5" s="8">
        <f>'Kelly, Justin '!AH11</f>
        <v>1</v>
      </c>
      <c r="AY5" s="8">
        <f>'Kliever, Debbie '!AH11</f>
        <v>2</v>
      </c>
      <c r="AZ5" s="8">
        <f>'Lee, Ginger '!AH11</f>
        <v>1</v>
      </c>
      <c r="BA5" s="8">
        <f>'Lorenz, Viola '!AH11</f>
        <v>12</v>
      </c>
      <c r="BB5" s="8">
        <f>'Marrero, Rachel '!AH11</f>
        <v>1</v>
      </c>
      <c r="BC5" s="8">
        <f>'Martin, Dusty '!AH11</f>
        <v>0</v>
      </c>
      <c r="BD5" s="8">
        <f>'May, Cynthia '!AH11</f>
        <v>3</v>
      </c>
      <c r="BE5" s="8">
        <f>'McCluskey, Loreta '!AH11</f>
        <v>5</v>
      </c>
      <c r="BF5" s="8">
        <f>'McDaniel, Kaylee'!AH11</f>
        <v>0</v>
      </c>
      <c r="BG5" s="8">
        <f>'McKee, Nathan'!AH11</f>
        <v>1</v>
      </c>
      <c r="BH5" s="8">
        <f>'Miller, Gary '!AH11</f>
        <v>2</v>
      </c>
      <c r="BI5" s="8">
        <f>'Mills, Gary '!AH11</f>
        <v>4</v>
      </c>
      <c r="BJ5" s="8">
        <f>'Moore, Darlene '!AH11</f>
        <v>1</v>
      </c>
      <c r="BK5" s="8">
        <f>'Morris, Jessie'!AH11</f>
        <v>0</v>
      </c>
      <c r="BL5" s="8">
        <f>'Nichols, Brenda '!AH11</f>
        <v>4</v>
      </c>
      <c r="BM5" s="8">
        <f>'Parker, Jerry'!AH11</f>
        <v>0</v>
      </c>
      <c r="BN5" s="8">
        <f>'Patterson, Pamela '!AH11</f>
        <v>0</v>
      </c>
      <c r="BO5" s="8">
        <f>'Peels, Carolyn '!AH11</f>
        <v>0</v>
      </c>
      <c r="BP5" s="8">
        <f>'Peels, Timothy '!AH11</f>
        <v>2</v>
      </c>
      <c r="BQ5" s="8">
        <f>'Poff, Jessica '!AH11</f>
        <v>2</v>
      </c>
      <c r="BR5" s="8">
        <f>'Rankin, Alan '!AH11</f>
        <v>2</v>
      </c>
      <c r="BS5" s="8">
        <f>'Reagan, Sandra'!AH11</f>
        <v>2</v>
      </c>
      <c r="BT5" s="8">
        <f>'Redman, Melissa'!AH11</f>
        <v>0</v>
      </c>
      <c r="BU5" s="8">
        <f>'Richesin, Joey '!AH11</f>
        <v>1</v>
      </c>
      <c r="BV5" s="8">
        <f>'Roberts, Beverly'!AH11</f>
        <v>0</v>
      </c>
      <c r="BW5" s="8">
        <f>'Roberts, Lisa '!AH11</f>
        <v>0</v>
      </c>
      <c r="BX5" s="8">
        <f>'Roberts, Lori '!AH11</f>
        <v>5</v>
      </c>
      <c r="BY5" s="8">
        <f>'Rupinski, Angela '!AH11</f>
        <v>0</v>
      </c>
      <c r="BZ5" s="8">
        <f>'Rupinski, Alexis'!AH11</f>
        <v>0</v>
      </c>
      <c r="CA5" s="8">
        <f>'Schutt, Caleb '!AH11</f>
        <v>0</v>
      </c>
      <c r="CB5" s="8">
        <f>'Schomaker, Carla '!AH11</f>
        <v>0</v>
      </c>
      <c r="CC5" s="8">
        <f>'Selby, Chasity '!AH11</f>
        <v>3</v>
      </c>
      <c r="CD5" s="8">
        <f>'Self, Janet '!AH11</f>
        <v>1</v>
      </c>
      <c r="CE5" s="8">
        <f>'Sharp, Sonia '!AH11</f>
        <v>3</v>
      </c>
      <c r="CF5" s="8">
        <f>'Shaw, Teia '!AH11</f>
        <v>1</v>
      </c>
      <c r="CG5" s="8">
        <f>'Shepherd, Christina'!AH11</f>
        <v>0</v>
      </c>
      <c r="CH5" s="8">
        <f>'Smith, Shannon'!AH11</f>
        <v>0</v>
      </c>
      <c r="CI5" s="8">
        <f>'Smith,Justin'!AH11</f>
        <v>0</v>
      </c>
      <c r="CJ5" s="8">
        <f>'Stafford, Tabitha '!AH11</f>
        <v>0</v>
      </c>
      <c r="CK5" s="8">
        <f>'Stevens, Lorie'!AH11</f>
        <v>0</v>
      </c>
      <c r="CL5" s="8">
        <f>'Thomas, Emily '!AH11</f>
        <v>2</v>
      </c>
      <c r="CM5" s="8">
        <f>'Tipton, Rebecca'!AH11</f>
        <v>0</v>
      </c>
      <c r="CN5" s="8">
        <f>'Vaughn, Gregory '!AH11</f>
        <v>0</v>
      </c>
      <c r="CO5" s="8">
        <f>'Veit, Jordan '!AH11</f>
        <v>6</v>
      </c>
      <c r="CP5" s="8">
        <f>'Watson, Dennis '!AH11</f>
        <v>2</v>
      </c>
      <c r="CQ5" s="8">
        <f>'Wells, James '!AH11</f>
        <v>0</v>
      </c>
      <c r="CR5" s="8">
        <f>'West, Sandra '!AH11</f>
        <v>4</v>
      </c>
      <c r="CS5" s="8">
        <f>'Young, Karen '!AH11</f>
        <v>1</v>
      </c>
      <c r="CU5" s="67">
        <f t="shared" si="0"/>
        <v>1.9583333333333333</v>
      </c>
      <c r="CV5" s="67">
        <f t="shared" si="1"/>
        <v>2.983874791597299</v>
      </c>
      <c r="CW5" s="67">
        <f t="shared" si="2"/>
        <v>1.5236807446454292</v>
      </c>
    </row>
    <row r="6" spans="1:101" ht="13" x14ac:dyDescent="0.25">
      <c r="A6" s="65" t="s">
        <v>301</v>
      </c>
      <c r="B6" s="8">
        <f>'Akulic, Marlene'!AH12</f>
        <v>0</v>
      </c>
      <c r="C6" s="8">
        <f>'Armstrong, Mary'!AH12</f>
        <v>1</v>
      </c>
      <c r="D6" s="8">
        <f>'Atkins, Reva'!AH12</f>
        <v>7</v>
      </c>
      <c r="E6" s="8">
        <f>'Barnes, Ashley'!AH12</f>
        <v>0</v>
      </c>
      <c r="F6" s="8">
        <f>'Barnes, Eric '!AH12</f>
        <v>0</v>
      </c>
      <c r="G6" s="8">
        <f>'Barnes, Sarah '!AH12</f>
        <v>0</v>
      </c>
      <c r="H6" s="8">
        <f>'Bivens, Bethany'!AH12</f>
        <v>0</v>
      </c>
      <c r="I6" s="8">
        <f>'Bivens, Diane'!AH12</f>
        <v>4</v>
      </c>
      <c r="J6" s="8">
        <f>'Bivens, Tammie'!AH12</f>
        <v>4</v>
      </c>
      <c r="K6" s="8">
        <f>'Bledsoe, Amy '!AH12</f>
        <v>3</v>
      </c>
      <c r="L6" s="8">
        <f>'Bookout, Nancy '!AH12</f>
        <v>0</v>
      </c>
      <c r="M6" s="8">
        <f>'Bourzac, Nanette Lo '!AH12</f>
        <v>6</v>
      </c>
      <c r="N6" s="8">
        <f>'Brooks, Tammy '!AH12</f>
        <v>9</v>
      </c>
      <c r="O6" s="8">
        <f>'Brummett, Sebrina'!AH12</f>
        <v>1</v>
      </c>
      <c r="P6" s="8">
        <f>'Bryan, Sheena'!AH12</f>
        <v>4</v>
      </c>
      <c r="Q6" s="8">
        <f>'Burger, Mary'!AH12</f>
        <v>0</v>
      </c>
      <c r="R6" s="8">
        <f>'Cannon, Jennifer'!AH12</f>
        <v>3</v>
      </c>
      <c r="S6" s="8">
        <f>'Carroll, Robin '!AH12</f>
        <v>12</v>
      </c>
      <c r="T6" s="8">
        <f>'Cathcart, Bess '!AH12</f>
        <v>0</v>
      </c>
      <c r="U6" s="8">
        <f>'Childress, Stacy '!AH12</f>
        <v>0</v>
      </c>
      <c r="V6" s="8">
        <f>'Clark, Elizabeth '!AH12</f>
        <v>2</v>
      </c>
      <c r="W6" s="8">
        <f>'Coburn, Lisa '!AH12</f>
        <v>2</v>
      </c>
      <c r="X6" s="8">
        <f>'Cooley, Tammy '!AH12</f>
        <v>2</v>
      </c>
      <c r="Y6" s="8">
        <f>'Cooper, Alice'!AH12</f>
        <v>0</v>
      </c>
      <c r="Z6" s="8">
        <f>'Davis, Kimberly '!AH12</f>
        <v>4</v>
      </c>
      <c r="AA6" s="8">
        <f>'Douglas, Krystopher'!AH12</f>
        <v>1</v>
      </c>
      <c r="AB6" s="8">
        <f>'Davis, Tyler '!AH12</f>
        <v>0</v>
      </c>
      <c r="AC6" s="8">
        <f>'Dotson, Wanda '!AH12</f>
        <v>0</v>
      </c>
      <c r="AD6" s="8">
        <f>'Dunn, Lois '!AH12</f>
        <v>1</v>
      </c>
      <c r="AE6" s="8">
        <f>'Fabrizio, Jamie '!AH12</f>
        <v>0</v>
      </c>
      <c r="AF6" s="8">
        <f>'Ghormley, Kelly '!AH12</f>
        <v>0</v>
      </c>
      <c r="AG6" s="8">
        <f>'Gibby, Benjamin '!AH12</f>
        <v>1</v>
      </c>
      <c r="AH6" s="8">
        <f>'Gibby, Deborah '!AH12</f>
        <v>1</v>
      </c>
      <c r="AI6" s="8">
        <f>'Givens, Robert '!AH12</f>
        <v>0</v>
      </c>
      <c r="AJ6" s="8">
        <f>'Godwin, Tonya '!AH12</f>
        <v>1</v>
      </c>
      <c r="AK6" s="8">
        <f>'Hall, Fredrick '!AH12</f>
        <v>4</v>
      </c>
      <c r="AL6" s="8">
        <f>'Hall, Mary '!AH12</f>
        <v>2</v>
      </c>
      <c r="AM6" s="8">
        <f>'Hampton, Angela '!AH12</f>
        <v>9</v>
      </c>
      <c r="AN6" s="8">
        <f>'Harris, Nancy '!AH12</f>
        <v>3</v>
      </c>
      <c r="AO6" s="8">
        <f>'Harrison, Chuck '!AH12</f>
        <v>0</v>
      </c>
      <c r="AP6" s="8">
        <f>'Headrick, Lena '!AH12</f>
        <v>2</v>
      </c>
      <c r="AQ6" s="8">
        <f>'Helton, Lisa'!AH12</f>
        <v>0</v>
      </c>
      <c r="AR6" s="8">
        <f>'Hicks, lisa '!AH12</f>
        <v>2</v>
      </c>
      <c r="AS6" s="8">
        <f>'Hicks, Shelby'!AH12</f>
        <v>4</v>
      </c>
      <c r="AT6" s="8">
        <f>'Howarth, Amy '!AH12</f>
        <v>0</v>
      </c>
      <c r="AU6" s="8">
        <f>'Hunt, Nancy '!AH12</f>
        <v>1</v>
      </c>
      <c r="AV6" s="8">
        <f>'Jones, Deborah'!AH12</f>
        <v>0</v>
      </c>
      <c r="AW6" s="8">
        <f>'Kelly, Delmis '!AH12</f>
        <v>1</v>
      </c>
      <c r="AX6" s="8">
        <f>'Kelly, Justin '!AH12</f>
        <v>1</v>
      </c>
      <c r="AY6" s="8">
        <f>'Kliever, Debbie '!AH12</f>
        <v>1</v>
      </c>
      <c r="AZ6" s="8">
        <f>'Lee, Ginger '!AH12</f>
        <v>0</v>
      </c>
      <c r="BA6" s="8">
        <f>'Lorenz, Viola '!AH12</f>
        <v>10</v>
      </c>
      <c r="BB6" s="8">
        <f>'Marrero, Rachel '!AH12</f>
        <v>3</v>
      </c>
      <c r="BC6" s="8">
        <f>'Martin, Dusty '!AH12</f>
        <v>0</v>
      </c>
      <c r="BD6" s="8">
        <f>'May, Cynthia '!AH12</f>
        <v>0</v>
      </c>
      <c r="BE6" s="8">
        <f>'McCluskey, Loreta '!AH12</f>
        <v>3</v>
      </c>
      <c r="BF6" s="8">
        <f>'McDaniel, Kaylee'!AH12</f>
        <v>0</v>
      </c>
      <c r="BG6" s="8">
        <f>'McKee, Nathan'!AH12</f>
        <v>1</v>
      </c>
      <c r="BH6" s="8">
        <f>'Miller, Gary '!AH12</f>
        <v>1</v>
      </c>
      <c r="BI6" s="8">
        <f>'Mills, Gary '!AH12</f>
        <v>2</v>
      </c>
      <c r="BJ6" s="8">
        <f>'Moore, Darlene '!AH12</f>
        <v>3</v>
      </c>
      <c r="BK6" s="8">
        <f>'Morris, Jessie'!AH12</f>
        <v>0</v>
      </c>
      <c r="BL6" s="8">
        <f>'Nichols, Brenda '!AH12</f>
        <v>1</v>
      </c>
      <c r="BM6" s="8">
        <f>'Parker, Jerry'!AH12</f>
        <v>0</v>
      </c>
      <c r="BN6" s="8">
        <f>'Patterson, Pamela '!AH12</f>
        <v>2</v>
      </c>
      <c r="BO6" s="8">
        <f>'Peels, Carolyn '!AH12</f>
        <v>4</v>
      </c>
      <c r="BP6" s="8">
        <f>'Peels, Timothy '!AH12</f>
        <v>1</v>
      </c>
      <c r="BQ6" s="8">
        <f>'Poff, Jessica '!AH12</f>
        <v>3</v>
      </c>
      <c r="BR6" s="8">
        <f>'Rankin, Alan '!AH12</f>
        <v>3</v>
      </c>
      <c r="BS6" s="8">
        <f>'Reagan, Sandra'!AH12</f>
        <v>3</v>
      </c>
      <c r="BT6" s="8">
        <f>'Redman, Melissa'!AH12</f>
        <v>1</v>
      </c>
      <c r="BU6" s="8">
        <f>'Richesin, Joey '!AH12</f>
        <v>0</v>
      </c>
      <c r="BV6" s="8">
        <f>'Roberts, Beverly'!AH12</f>
        <v>0</v>
      </c>
      <c r="BW6" s="8">
        <f>'Roberts, Lisa '!AH12</f>
        <v>0</v>
      </c>
      <c r="BX6" s="8">
        <f>'Roberts, Lori '!AH12</f>
        <v>3</v>
      </c>
      <c r="BY6" s="8">
        <f>'Rupinski, Angela '!AH12</f>
        <v>0</v>
      </c>
      <c r="BZ6" s="8">
        <f>'Rupinski, Alexis'!AH12</f>
        <v>0</v>
      </c>
      <c r="CA6" s="8">
        <f>'Schutt, Caleb '!AH12</f>
        <v>0</v>
      </c>
      <c r="CB6" s="8">
        <f>'Schomaker, Carla '!AH12</f>
        <v>0</v>
      </c>
      <c r="CC6" s="8">
        <f>'Selby, Chasity '!AH12</f>
        <v>1</v>
      </c>
      <c r="CD6" s="8">
        <f>'Self, Janet '!AH12</f>
        <v>0</v>
      </c>
      <c r="CE6" s="8">
        <f>'Sharp, Sonia '!AH12</f>
        <v>1</v>
      </c>
      <c r="CF6" s="8">
        <f>'Shaw, Teia '!AH12</f>
        <v>0</v>
      </c>
      <c r="CG6" s="8">
        <f>'Shepherd, Christina'!AH12</f>
        <v>0</v>
      </c>
      <c r="CH6" s="8">
        <f>'Smith, Shannon'!AH12</f>
        <v>0</v>
      </c>
      <c r="CI6" s="8">
        <f>'Smith,Justin'!AH12</f>
        <v>0</v>
      </c>
      <c r="CJ6" s="8">
        <f>'Stafford, Tabitha '!AH12</f>
        <v>0</v>
      </c>
      <c r="CK6" s="8">
        <f>'Stevens, Lorie'!AH12</f>
        <v>0</v>
      </c>
      <c r="CL6" s="8">
        <f>'Thomas, Emily '!AH12</f>
        <v>1</v>
      </c>
      <c r="CM6" s="8">
        <f>'Tipton, Rebecca'!AH12</f>
        <v>4</v>
      </c>
      <c r="CN6" s="8">
        <f>'Vaughn, Gregory '!AH12</f>
        <v>0</v>
      </c>
      <c r="CO6" s="8">
        <f>'Veit, Jordan '!AH12</f>
        <v>3</v>
      </c>
      <c r="CP6" s="8">
        <f>'Watson, Dennis '!AH12</f>
        <v>0</v>
      </c>
      <c r="CQ6" s="8">
        <f>'Wells, James '!AH12</f>
        <v>0</v>
      </c>
      <c r="CR6" s="8">
        <f>'West, Sandra '!AH12</f>
        <v>0</v>
      </c>
      <c r="CS6" s="8">
        <f>'Young, Karen '!AH12</f>
        <v>1</v>
      </c>
      <c r="CU6" s="67">
        <f t="shared" si="0"/>
        <v>1.6041666666666667</v>
      </c>
      <c r="CV6" s="67">
        <f t="shared" si="1"/>
        <v>2.3462362543877608</v>
      </c>
      <c r="CW6" s="67">
        <f t="shared" si="2"/>
        <v>1.4625888339040587</v>
      </c>
    </row>
    <row r="7" spans="1:101" ht="13" x14ac:dyDescent="0.25">
      <c r="A7" s="65" t="s">
        <v>302</v>
      </c>
      <c r="B7" s="8">
        <f>'Akulic, Marlene'!AH13</f>
        <v>1</v>
      </c>
      <c r="C7" s="8">
        <f>'Armstrong, Mary'!AH13</f>
        <v>0</v>
      </c>
      <c r="D7" s="8">
        <f>'Atkins, Reva'!AH13</f>
        <v>2</v>
      </c>
      <c r="E7" s="8">
        <f>'Barnes, Ashley'!AH13</f>
        <v>0</v>
      </c>
      <c r="F7" s="8">
        <f>'Barnes, Eric '!AH13</f>
        <v>4</v>
      </c>
      <c r="G7" s="8">
        <f>'Barnes, Sarah '!AH13</f>
        <v>4</v>
      </c>
      <c r="H7" s="8">
        <f>'Bivens, Bethany'!AH13</f>
        <v>0</v>
      </c>
      <c r="I7" s="8">
        <f>'Bivens, Diane'!AH13</f>
        <v>1</v>
      </c>
      <c r="J7" s="8">
        <f>'Bivens, Tammie'!AH13</f>
        <v>2</v>
      </c>
      <c r="K7" s="8">
        <f>'Bledsoe, Amy '!AH13</f>
        <v>2</v>
      </c>
      <c r="L7" s="8">
        <f>'Bookout, Nancy '!AH13</f>
        <v>10</v>
      </c>
      <c r="M7" s="8">
        <f>'Bourzac, Nanette Lo '!AH13</f>
        <v>3</v>
      </c>
      <c r="N7" s="8">
        <f>'Brooks, Tammy '!AH13</f>
        <v>7</v>
      </c>
      <c r="O7" s="8">
        <f>'Brummett, Sebrina'!AH13</f>
        <v>3</v>
      </c>
      <c r="P7" s="8">
        <f>'Bryan, Sheena'!AH13</f>
        <v>0</v>
      </c>
      <c r="Q7" s="8">
        <f>'Burger, Mary'!AH13</f>
        <v>0</v>
      </c>
      <c r="R7" s="8">
        <f>'Cannon, Jennifer'!AH13</f>
        <v>2</v>
      </c>
      <c r="S7" s="8">
        <f>'Carroll, Robin '!AH13</f>
        <v>0</v>
      </c>
      <c r="T7" s="8">
        <f>'Cathcart, Bess '!AH13</f>
        <v>2</v>
      </c>
      <c r="U7" s="8">
        <f>'Childress, Stacy '!AH13</f>
        <v>3</v>
      </c>
      <c r="V7" s="8">
        <f>'Clark, Elizabeth '!AH13</f>
        <v>6</v>
      </c>
      <c r="W7" s="8">
        <f>'Coburn, Lisa '!AH13</f>
        <v>1</v>
      </c>
      <c r="X7" s="8">
        <f>'Cooley, Tammy '!AH13</f>
        <v>0</v>
      </c>
      <c r="Y7" s="8">
        <f>'Cooper, Alice'!AH13</f>
        <v>0</v>
      </c>
      <c r="Z7" s="8">
        <f>'Davis, Kimberly '!AH13</f>
        <v>0</v>
      </c>
      <c r="AA7" s="8">
        <f>'Douglas, Krystopher'!AH13</f>
        <v>1</v>
      </c>
      <c r="AB7" s="8">
        <f>'Davis, Tyler '!AH13</f>
        <v>1</v>
      </c>
      <c r="AC7" s="8">
        <f>'Dotson, Wanda '!AH13</f>
        <v>4</v>
      </c>
      <c r="AD7" s="8">
        <f>'Dunn, Lois '!AH13</f>
        <v>1</v>
      </c>
      <c r="AE7" s="8">
        <f>'Fabrizio, Jamie '!AH13</f>
        <v>2</v>
      </c>
      <c r="AF7" s="8">
        <f>'Ghormley, Kelly '!AH13</f>
        <v>0</v>
      </c>
      <c r="AG7" s="8">
        <f>'Gibby, Benjamin '!AH13</f>
        <v>0</v>
      </c>
      <c r="AH7" s="8">
        <f>'Gibby, Deborah '!AH13</f>
        <v>0</v>
      </c>
      <c r="AI7" s="8">
        <f>'Givens, Robert '!AH13</f>
        <v>0</v>
      </c>
      <c r="AJ7" s="8">
        <f>'Godwin, Tonya '!AH13</f>
        <v>2</v>
      </c>
      <c r="AK7" s="8">
        <f>'Hall, Fredrick '!AH13</f>
        <v>3</v>
      </c>
      <c r="AL7" s="8">
        <f>'Hall, Mary '!AH13</f>
        <v>0</v>
      </c>
      <c r="AM7" s="8">
        <f>'Hampton, Angela '!AH13</f>
        <v>9</v>
      </c>
      <c r="AN7" s="8">
        <f>'Harris, Nancy '!AH13</f>
        <v>0</v>
      </c>
      <c r="AO7" s="8">
        <f>'Harrison, Chuck '!AH13</f>
        <v>0</v>
      </c>
      <c r="AP7" s="8">
        <f>'Headrick, Lena '!AH13</f>
        <v>1</v>
      </c>
      <c r="AQ7" s="8">
        <f>'Helton, Lisa'!AH13</f>
        <v>0</v>
      </c>
      <c r="AR7" s="8">
        <f>'Hicks, lisa '!AH13</f>
        <v>1</v>
      </c>
      <c r="AS7" s="8">
        <f>'Hicks, Shelby'!AH13</f>
        <v>1</v>
      </c>
      <c r="AT7" s="8">
        <f>'Howarth, Amy '!AH13</f>
        <v>0</v>
      </c>
      <c r="AU7" s="8">
        <f>'Hunt, Nancy '!AH13</f>
        <v>0</v>
      </c>
      <c r="AV7" s="8">
        <f>'Jones, Deborah'!AH13</f>
        <v>0</v>
      </c>
      <c r="AW7" s="8">
        <f>'Kelly, Delmis '!AH13</f>
        <v>0</v>
      </c>
      <c r="AX7" s="8">
        <f>'Kelly, Justin '!AH13</f>
        <v>0</v>
      </c>
      <c r="AY7" s="8">
        <f>'Kliever, Debbie '!AH13</f>
        <v>3</v>
      </c>
      <c r="AZ7" s="8">
        <f>'Lee, Ginger '!AH13</f>
        <v>1</v>
      </c>
      <c r="BA7" s="8">
        <f>'Lorenz, Viola '!AH13</f>
        <v>0</v>
      </c>
      <c r="BB7" s="8">
        <f>'Marrero, Rachel '!AH13</f>
        <v>4</v>
      </c>
      <c r="BC7" s="8">
        <f>'Martin, Dusty '!AH13</f>
        <v>0</v>
      </c>
      <c r="BD7" s="8">
        <f>'May, Cynthia '!AH13</f>
        <v>2</v>
      </c>
      <c r="BE7" s="8">
        <f>'McCluskey, Loreta '!AH13</f>
        <v>1</v>
      </c>
      <c r="BF7" s="8">
        <f>'McDaniel, Kaylee'!AH13</f>
        <v>0</v>
      </c>
      <c r="BG7" s="8">
        <f>'McKee, Nathan'!AH13</f>
        <v>2</v>
      </c>
      <c r="BH7" s="8">
        <f>'Miller, Gary '!AH13</f>
        <v>0</v>
      </c>
      <c r="BI7" s="8">
        <f>'Mills, Gary '!AH13</f>
        <v>0</v>
      </c>
      <c r="BJ7" s="8">
        <f>'Moore, Darlene '!AH13</f>
        <v>9</v>
      </c>
      <c r="BK7" s="8">
        <f>'Morris, Jessie'!AH13</f>
        <v>2</v>
      </c>
      <c r="BL7" s="8">
        <f>'Nichols, Brenda '!AH13</f>
        <v>3</v>
      </c>
      <c r="BM7" s="8">
        <f>'Parker, Jerry'!AH13</f>
        <v>0</v>
      </c>
      <c r="BN7" s="8">
        <f>'Patterson, Pamela '!AH13</f>
        <v>1</v>
      </c>
      <c r="BO7" s="8">
        <f>'Peels, Carolyn '!AH13</f>
        <v>1</v>
      </c>
      <c r="BP7" s="8">
        <f>'Peels, Timothy '!AH13</f>
        <v>0</v>
      </c>
      <c r="BQ7" s="8">
        <f>'Poff, Jessica '!AH13</f>
        <v>1</v>
      </c>
      <c r="BR7" s="8">
        <f>'Rankin, Alan '!AH13</f>
        <v>1</v>
      </c>
      <c r="BS7" s="8">
        <f>'Reagan, Sandra'!AH13</f>
        <v>1</v>
      </c>
      <c r="BT7" s="8">
        <f>'Redman, Melissa'!AH13</f>
        <v>0</v>
      </c>
      <c r="BU7" s="8">
        <f>'Richesin, Joey '!AH13</f>
        <v>9</v>
      </c>
      <c r="BV7" s="8">
        <f>'Roberts, Beverly'!AH13</f>
        <v>0</v>
      </c>
      <c r="BW7" s="8">
        <f>'Roberts, Lisa '!AH13</f>
        <v>0</v>
      </c>
      <c r="BX7" s="8">
        <f>'Roberts, Lori '!AH13</f>
        <v>1</v>
      </c>
      <c r="BY7" s="8">
        <f>'Rupinski, Angela '!AH13</f>
        <v>1</v>
      </c>
      <c r="BZ7" s="8">
        <f>'Rupinski, Alexis'!AH13</f>
        <v>2</v>
      </c>
      <c r="CA7" s="8">
        <f>'Schutt, Caleb '!AH13</f>
        <v>1</v>
      </c>
      <c r="CB7" s="8">
        <f>'Schomaker, Carla '!AH13</f>
        <v>0</v>
      </c>
      <c r="CC7" s="8">
        <f>'Selby, Chasity '!AH13</f>
        <v>3</v>
      </c>
      <c r="CD7" s="8">
        <f>'Self, Janet '!AH13</f>
        <v>1</v>
      </c>
      <c r="CE7" s="8">
        <f>'Sharp, Sonia '!AH13</f>
        <v>0</v>
      </c>
      <c r="CF7" s="8">
        <f>'Shaw, Teia '!AH13</f>
        <v>5</v>
      </c>
      <c r="CG7" s="8">
        <f>'Shepherd, Christina'!AH13</f>
        <v>0</v>
      </c>
      <c r="CH7" s="8">
        <f>'Smith, Shannon'!AH13</f>
        <v>0</v>
      </c>
      <c r="CI7" s="8">
        <f>'Smith,Justin'!AH13</f>
        <v>0</v>
      </c>
      <c r="CJ7" s="8">
        <f>'Stafford, Tabitha '!AH13</f>
        <v>3</v>
      </c>
      <c r="CK7" s="8">
        <f>'Stevens, Lorie'!AH13</f>
        <v>0</v>
      </c>
      <c r="CL7" s="8">
        <f>'Thomas, Emily '!AH13</f>
        <v>2</v>
      </c>
      <c r="CM7" s="8">
        <f>'Tipton, Rebecca'!AH13</f>
        <v>3</v>
      </c>
      <c r="CN7" s="8">
        <f>'Vaughn, Gregory '!AH13</f>
        <v>0</v>
      </c>
      <c r="CO7" s="8">
        <f>'Veit, Jordan '!AH13</f>
        <v>4</v>
      </c>
      <c r="CP7" s="8">
        <f>'Watson, Dennis '!AH13</f>
        <v>0</v>
      </c>
      <c r="CQ7" s="8">
        <f>'Wells, James '!AH13</f>
        <v>0</v>
      </c>
      <c r="CR7" s="8">
        <f>'West, Sandra '!AH13</f>
        <v>0</v>
      </c>
      <c r="CS7" s="8">
        <f>'Young, Karen '!AH13</f>
        <v>0</v>
      </c>
      <c r="CU7" s="67">
        <f t="shared" si="0"/>
        <v>1.5208333333333333</v>
      </c>
      <c r="CV7" s="67">
        <f t="shared" si="1"/>
        <v>2.2003787552752518</v>
      </c>
      <c r="CW7" s="67">
        <f t="shared" si="2"/>
        <v>1.4468243870303026</v>
      </c>
    </row>
    <row r="8" spans="1:101" ht="13" x14ac:dyDescent="0.25">
      <c r="A8" s="65" t="s">
        <v>303</v>
      </c>
      <c r="B8" s="8">
        <f>'Akulic, Marlene'!AH14</f>
        <v>1</v>
      </c>
      <c r="C8" s="8">
        <f>'Armstrong, Mary'!AH14</f>
        <v>1</v>
      </c>
      <c r="D8" s="8">
        <f>'Atkins, Reva'!AH14</f>
        <v>2</v>
      </c>
      <c r="E8" s="8">
        <f>'Barnes, Ashley'!AH14</f>
        <v>0</v>
      </c>
      <c r="F8" s="8">
        <f>'Barnes, Eric '!AH14</f>
        <v>0</v>
      </c>
      <c r="G8" s="8">
        <f>'Barnes, Sarah '!AH14</f>
        <v>1</v>
      </c>
      <c r="H8" s="8">
        <f>'Bivens, Bethany'!AH14</f>
        <v>1</v>
      </c>
      <c r="I8" s="8">
        <f>'Bivens, Diane'!AH14</f>
        <v>0</v>
      </c>
      <c r="J8" s="8">
        <f>'Bivens, Tammie'!AH14</f>
        <v>6</v>
      </c>
      <c r="K8" s="8">
        <f>'Bledsoe, Amy '!AH14</f>
        <v>1</v>
      </c>
      <c r="L8" s="8">
        <f>'Bookout, Nancy '!AH14</f>
        <v>1</v>
      </c>
      <c r="M8" s="8">
        <f>'Bourzac, Nanette Lo '!AH14</f>
        <v>4</v>
      </c>
      <c r="N8" s="8">
        <f>'Brooks, Tammy '!AH14</f>
        <v>6</v>
      </c>
      <c r="O8" s="8">
        <f>'Brummett, Sebrina'!AH14</f>
        <v>5</v>
      </c>
      <c r="P8" s="8">
        <f>'Bryan, Sheena'!AH14</f>
        <v>1</v>
      </c>
      <c r="Q8" s="8">
        <f>'Burger, Mary'!AH14</f>
        <v>0</v>
      </c>
      <c r="R8" s="8">
        <f>'Cannon, Jennifer'!AH14</f>
        <v>3</v>
      </c>
      <c r="S8" s="8">
        <f>'Carroll, Robin '!AH14</f>
        <v>4</v>
      </c>
      <c r="T8" s="8">
        <f>'Cathcart, Bess '!AH14</f>
        <v>4</v>
      </c>
      <c r="U8" s="8">
        <f>'Childress, Stacy '!AH14</f>
        <v>1</v>
      </c>
      <c r="V8" s="8">
        <f>'Clark, Elizabeth '!AH14</f>
        <v>0</v>
      </c>
      <c r="W8" s="8">
        <f>'Coburn, Lisa '!AH14</f>
        <v>1</v>
      </c>
      <c r="X8" s="8">
        <f>'Cooley, Tammy '!AH14</f>
        <v>5</v>
      </c>
      <c r="Y8" s="8">
        <f>'Cooper, Alice'!AH14</f>
        <v>1</v>
      </c>
      <c r="Z8" s="8">
        <f>'Davis, Kimberly '!AH14</f>
        <v>5</v>
      </c>
      <c r="AA8" s="8">
        <f>'Douglas, Krystopher'!AH14</f>
        <v>1</v>
      </c>
      <c r="AB8" s="8">
        <f>'Davis, Tyler '!AH14</f>
        <v>3</v>
      </c>
      <c r="AC8" s="8">
        <f>'Dotson, Wanda '!AH14</f>
        <v>2</v>
      </c>
      <c r="AD8" s="8">
        <f>'Dunn, Lois '!AH14</f>
        <v>1</v>
      </c>
      <c r="AE8" s="8">
        <f>'Fabrizio, Jamie '!AH14</f>
        <v>0</v>
      </c>
      <c r="AF8" s="8">
        <f>'Ghormley, Kelly '!AH14</f>
        <v>0</v>
      </c>
      <c r="AG8" s="8">
        <f>'Gibby, Benjamin '!AH14</f>
        <v>1</v>
      </c>
      <c r="AH8" s="8">
        <f>'Gibby, Deborah '!AH14</f>
        <v>0</v>
      </c>
      <c r="AI8" s="8">
        <f>'Givens, Robert '!AH14</f>
        <v>0</v>
      </c>
      <c r="AJ8" s="8">
        <f>'Godwin, Tonya '!AH14</f>
        <v>3</v>
      </c>
      <c r="AK8" s="8">
        <f>'Hall, Fredrick '!AH14</f>
        <v>1</v>
      </c>
      <c r="AL8" s="8">
        <f>'Hall, Mary '!AH14</f>
        <v>0</v>
      </c>
      <c r="AM8" s="8">
        <f>'Hampton, Angela '!AH14</f>
        <v>15</v>
      </c>
      <c r="AN8" s="8">
        <f>'Harris, Nancy '!AH14</f>
        <v>3</v>
      </c>
      <c r="AO8" s="8">
        <f>'Harrison, Chuck '!AH14</f>
        <v>3</v>
      </c>
      <c r="AP8" s="8">
        <f>'Headrick, Lena '!AH14</f>
        <v>1</v>
      </c>
      <c r="AQ8" s="8">
        <f>'Helton, Lisa'!AH14</f>
        <v>4</v>
      </c>
      <c r="AR8" s="8">
        <f>'Hicks, lisa '!AH14</f>
        <v>0</v>
      </c>
      <c r="AS8" s="8">
        <f>'Hicks, Shelby'!AH14</f>
        <v>1</v>
      </c>
      <c r="AT8" s="8">
        <f>'Howarth, Amy '!AH14</f>
        <v>0</v>
      </c>
      <c r="AU8" s="8">
        <f>'Hunt, Nancy '!AH14</f>
        <v>2</v>
      </c>
      <c r="AV8" s="8">
        <f>'Jones, Deborah'!AH14</f>
        <v>0</v>
      </c>
      <c r="AW8" s="8">
        <f>'Kelly, Delmis '!AH14</f>
        <v>0</v>
      </c>
      <c r="AX8" s="8">
        <f>'Kelly, Justin '!AH14</f>
        <v>0</v>
      </c>
      <c r="AY8" s="8">
        <f>'Kliever, Debbie '!AH14</f>
        <v>1</v>
      </c>
      <c r="AZ8" s="8">
        <f>'Lee, Ginger '!AH14</f>
        <v>1</v>
      </c>
      <c r="BA8" s="8">
        <f>'Lorenz, Viola '!AH14</f>
        <v>0</v>
      </c>
      <c r="BB8" s="8">
        <f>'Marrero, Rachel '!AH14</f>
        <v>0</v>
      </c>
      <c r="BC8" s="8">
        <f>'Martin, Dusty '!AH14</f>
        <v>0</v>
      </c>
      <c r="BD8" s="8">
        <f>'May, Cynthia '!AH14</f>
        <v>3</v>
      </c>
      <c r="BE8" s="8">
        <f>'McCluskey, Loreta '!AH14</f>
        <v>2</v>
      </c>
      <c r="BF8" s="8">
        <f>'McDaniel, Kaylee'!AH14</f>
        <v>0</v>
      </c>
      <c r="BG8" s="8">
        <f>'McKee, Nathan'!AH14</f>
        <v>4</v>
      </c>
      <c r="BH8" s="8">
        <f>'Miller, Gary '!AH14</f>
        <v>1</v>
      </c>
      <c r="BI8" s="8">
        <f>'Mills, Gary '!AH14</f>
        <v>1</v>
      </c>
      <c r="BJ8" s="8">
        <f>'Moore, Darlene '!AH14</f>
        <v>3</v>
      </c>
      <c r="BK8" s="8">
        <f>'Morris, Jessie'!AH14</f>
        <v>0</v>
      </c>
      <c r="BL8" s="8">
        <f>'Nichols, Brenda '!AH14</f>
        <v>1</v>
      </c>
      <c r="BM8" s="8">
        <f>'Parker, Jerry'!AH14</f>
        <v>0</v>
      </c>
      <c r="BN8" s="8">
        <f>'Patterson, Pamela '!AH14</f>
        <v>1</v>
      </c>
      <c r="BO8" s="8">
        <f>'Peels, Carolyn '!AH14</f>
        <v>0</v>
      </c>
      <c r="BP8" s="8">
        <f>'Peels, Timothy '!AH14</f>
        <v>2</v>
      </c>
      <c r="BQ8" s="8">
        <f>'Poff, Jessica '!AH14</f>
        <v>1</v>
      </c>
      <c r="BR8" s="8">
        <f>'Rankin, Alan '!AH14</f>
        <v>1</v>
      </c>
      <c r="BS8" s="8">
        <f>'Reagan, Sandra'!AH14</f>
        <v>1</v>
      </c>
      <c r="BT8" s="8">
        <f>'Redman, Melissa'!AH14</f>
        <v>1</v>
      </c>
      <c r="BU8" s="8">
        <f>'Richesin, Joey '!AH14</f>
        <v>2</v>
      </c>
      <c r="BV8" s="8">
        <f>'Roberts, Beverly'!AH14</f>
        <v>3</v>
      </c>
      <c r="BW8" s="8">
        <f>'Roberts, Lisa '!AH14</f>
        <v>3</v>
      </c>
      <c r="BX8" s="8">
        <f>'Roberts, Lori '!AH14</f>
        <v>0</v>
      </c>
      <c r="BY8" s="8">
        <f>'Rupinski, Angela '!AH14</f>
        <v>3</v>
      </c>
      <c r="BZ8" s="8">
        <f>'Rupinski, Alexis'!AH14</f>
        <v>0</v>
      </c>
      <c r="CA8" s="8">
        <f>'Schutt, Caleb '!AH14</f>
        <v>0</v>
      </c>
      <c r="CB8" s="8">
        <f>'Schomaker, Carla '!AH14</f>
        <v>0</v>
      </c>
      <c r="CC8" s="8">
        <f>'Selby, Chasity '!AH14</f>
        <v>2</v>
      </c>
      <c r="CD8" s="8">
        <f>'Self, Janet '!AH14</f>
        <v>0</v>
      </c>
      <c r="CE8" s="8">
        <f>'Sharp, Sonia '!AH14</f>
        <v>0</v>
      </c>
      <c r="CF8" s="8">
        <f>'Shaw, Teia '!AH14</f>
        <v>7</v>
      </c>
      <c r="CG8" s="8">
        <f>'Shepherd, Christina'!AH14</f>
        <v>0</v>
      </c>
      <c r="CH8" s="8">
        <f>'Smith, Shannon'!AH14</f>
        <v>0</v>
      </c>
      <c r="CI8" s="8">
        <f>'Smith,Justin'!AH14</f>
        <v>0</v>
      </c>
      <c r="CJ8" s="8">
        <f>'Stafford, Tabitha '!AH14</f>
        <v>2</v>
      </c>
      <c r="CK8" s="8">
        <f>'Stevens, Lorie'!AH14</f>
        <v>0</v>
      </c>
      <c r="CL8" s="8">
        <f>'Thomas, Emily '!AH14</f>
        <v>1</v>
      </c>
      <c r="CM8" s="8">
        <f>'Tipton, Rebecca'!AH14</f>
        <v>1</v>
      </c>
      <c r="CN8" s="8">
        <f>'Vaughn, Gregory '!AH14</f>
        <v>0</v>
      </c>
      <c r="CO8" s="8">
        <f>'Veit, Jordan '!AH14</f>
        <v>3</v>
      </c>
      <c r="CP8" s="8">
        <f>'Watson, Dennis '!AH14</f>
        <v>0</v>
      </c>
      <c r="CQ8" s="8">
        <f>'Wells, James '!AH14</f>
        <v>0</v>
      </c>
      <c r="CR8" s="8">
        <f>'West, Sandra '!AH14</f>
        <v>0</v>
      </c>
      <c r="CS8" s="8">
        <f>'Young, Karen '!AH14</f>
        <v>0</v>
      </c>
      <c r="CU8" s="67">
        <f t="shared" si="0"/>
        <v>1.5208333333333333</v>
      </c>
      <c r="CV8" s="67">
        <f t="shared" si="1"/>
        <v>2.1471114827363404</v>
      </c>
      <c r="CW8" s="67">
        <f t="shared" si="2"/>
        <v>1.4117993311143062</v>
      </c>
    </row>
    <row r="9" spans="1:101" ht="13" x14ac:dyDescent="0.25">
      <c r="A9" s="65" t="s">
        <v>304</v>
      </c>
      <c r="B9" s="8">
        <f>'Akulic, Marlene'!AH15</f>
        <v>4</v>
      </c>
      <c r="C9" s="8">
        <f>'Armstrong, Mary'!AH15</f>
        <v>3</v>
      </c>
      <c r="D9" s="8">
        <f>'Atkins, Reva'!AH15</f>
        <v>12</v>
      </c>
      <c r="E9" s="8">
        <f>'Barnes, Ashley'!AH15</f>
        <v>0</v>
      </c>
      <c r="F9" s="8">
        <f>'Barnes, Eric '!AH15</f>
        <v>2</v>
      </c>
      <c r="G9" s="8">
        <f>'Barnes, Sarah '!AH15</f>
        <v>4</v>
      </c>
      <c r="H9" s="8">
        <f>'Bivens, Bethany'!AH15</f>
        <v>1</v>
      </c>
      <c r="I9" s="8">
        <f>'Bivens, Diane'!AH15</f>
        <v>1</v>
      </c>
      <c r="J9" s="8">
        <f>'Bivens, Tammie'!AH15</f>
        <v>5</v>
      </c>
      <c r="K9" s="8">
        <f>'Bledsoe, Amy '!AH15</f>
        <v>6</v>
      </c>
      <c r="L9" s="8">
        <f>'Bookout, Nancy '!AH15</f>
        <v>2</v>
      </c>
      <c r="M9" s="8">
        <f>'Bourzac, Nanette Lo '!AH15</f>
        <v>3</v>
      </c>
      <c r="N9" s="8">
        <f>'Brooks, Tammy '!AH15</f>
        <v>13</v>
      </c>
      <c r="O9" s="8">
        <f>'Brummett, Sebrina'!AH15</f>
        <v>5</v>
      </c>
      <c r="P9" s="8">
        <f>'Bryan, Sheena'!AH15</f>
        <v>2</v>
      </c>
      <c r="Q9" s="8">
        <f>'Burger, Mary'!AH15</f>
        <v>0</v>
      </c>
      <c r="R9" s="8">
        <f>'Cannon, Jennifer'!AH15</f>
        <v>1</v>
      </c>
      <c r="S9" s="8">
        <f>'Carroll, Robin '!AH15</f>
        <v>0</v>
      </c>
      <c r="T9" s="8">
        <f>'Cathcart, Bess '!AH15</f>
        <v>4</v>
      </c>
      <c r="U9" s="8">
        <f>'Childress, Stacy '!AH15</f>
        <v>0</v>
      </c>
      <c r="V9" s="8">
        <f>'Clark, Elizabeth '!AH15</f>
        <v>6</v>
      </c>
      <c r="W9" s="8">
        <f>'Coburn, Lisa '!AH15</f>
        <v>9</v>
      </c>
      <c r="X9" s="8">
        <f>'Cooley, Tammy '!AH15</f>
        <v>3</v>
      </c>
      <c r="Y9" s="8">
        <f>'Cooper, Alice'!AH15</f>
        <v>0</v>
      </c>
      <c r="Z9" s="8">
        <f>'Davis, Kimberly '!AH15</f>
        <v>0</v>
      </c>
      <c r="AA9" s="8">
        <f>'Douglas, Krystopher'!AH15</f>
        <v>2</v>
      </c>
      <c r="AB9" s="8">
        <f>'Davis, Tyler '!AH15</f>
        <v>3</v>
      </c>
      <c r="AC9" s="8">
        <f>'Dotson, Wanda '!AH15</f>
        <v>3</v>
      </c>
      <c r="AD9" s="8">
        <f>'Dunn, Lois '!AH15</f>
        <v>2</v>
      </c>
      <c r="AE9" s="8">
        <f>'Fabrizio, Jamie '!AH15</f>
        <v>2</v>
      </c>
      <c r="AF9" s="8">
        <f>'Ghormley, Kelly '!AH15</f>
        <v>6</v>
      </c>
      <c r="AG9" s="8">
        <f>'Gibby, Benjamin '!AH15</f>
        <v>0</v>
      </c>
      <c r="AH9" s="8">
        <f>'Gibby, Deborah '!AH15</f>
        <v>0</v>
      </c>
      <c r="AI9" s="8">
        <f>'Givens, Robert '!AH15</f>
        <v>0</v>
      </c>
      <c r="AJ9" s="8">
        <f>'Godwin, Tonya '!AH15</f>
        <v>1</v>
      </c>
      <c r="AK9" s="8">
        <f>'Hall, Fredrick '!AH15</f>
        <v>0</v>
      </c>
      <c r="AL9" s="8">
        <f>'Hall, Mary '!AH15</f>
        <v>0</v>
      </c>
      <c r="AM9" s="8">
        <f>'Hampton, Angela '!AH15</f>
        <v>19</v>
      </c>
      <c r="AN9" s="8">
        <f>'Harris, Nancy '!AH15</f>
        <v>5</v>
      </c>
      <c r="AO9" s="8">
        <f>'Harrison, Chuck '!AH15</f>
        <v>0</v>
      </c>
      <c r="AP9" s="8">
        <f>'Headrick, Lena '!AH15</f>
        <v>0</v>
      </c>
      <c r="AQ9" s="8">
        <f>'Helton, Lisa'!AH15</f>
        <v>1</v>
      </c>
      <c r="AR9" s="8">
        <f>'Hicks, lisa '!AH15</f>
        <v>6</v>
      </c>
      <c r="AS9" s="8">
        <f>'Hicks, Shelby'!AH15</f>
        <v>3</v>
      </c>
      <c r="AT9" s="8">
        <f>'Howarth, Amy '!AH15</f>
        <v>2</v>
      </c>
      <c r="AU9" s="8">
        <f>'Hunt, Nancy '!AH15</f>
        <v>1</v>
      </c>
      <c r="AV9" s="8">
        <f>'Jones, Deborah'!AH15</f>
        <v>0</v>
      </c>
      <c r="AW9" s="8">
        <f>'Kelly, Delmis '!AH15</f>
        <v>1</v>
      </c>
      <c r="AX9" s="8">
        <f>'Kelly, Justin '!AH15</f>
        <v>1</v>
      </c>
      <c r="AY9" s="8">
        <f>'Kliever, Debbie '!AH15</f>
        <v>2</v>
      </c>
      <c r="AZ9" s="8">
        <f>'Lee, Ginger '!AH15</f>
        <v>0</v>
      </c>
      <c r="BA9" s="8">
        <f>'Lorenz, Viola '!AH15</f>
        <v>0</v>
      </c>
      <c r="BB9" s="8">
        <f>'Marrero, Rachel '!AH15</f>
        <v>4</v>
      </c>
      <c r="BC9" s="8">
        <f>'Martin, Dusty '!AH15</f>
        <v>0</v>
      </c>
      <c r="BD9" s="8">
        <f>'May, Cynthia '!AH15</f>
        <v>6</v>
      </c>
      <c r="BE9" s="8">
        <f>'McCluskey, Loreta '!AH15</f>
        <v>2</v>
      </c>
      <c r="BF9" s="8">
        <f>'McDaniel, Kaylee'!AH15</f>
        <v>1</v>
      </c>
      <c r="BG9" s="8">
        <f>'McKee, Nathan'!AH15</f>
        <v>3</v>
      </c>
      <c r="BH9" s="8">
        <f>'Miller, Gary '!AH15</f>
        <v>1</v>
      </c>
      <c r="BI9" s="8">
        <f>'Mills, Gary '!AH15</f>
        <v>0</v>
      </c>
      <c r="BJ9" s="8">
        <f>'Moore, Darlene '!AH15</f>
        <v>4</v>
      </c>
      <c r="BK9" s="8">
        <f>'Morris, Jessie'!AH15</f>
        <v>4</v>
      </c>
      <c r="BL9" s="8">
        <f>'Nichols, Brenda '!AH15</f>
        <v>5</v>
      </c>
      <c r="BM9" s="8">
        <f>'Parker, Jerry'!AH15</f>
        <v>0</v>
      </c>
      <c r="BN9" s="8">
        <f>'Patterson, Pamela '!AH15</f>
        <v>2</v>
      </c>
      <c r="BO9" s="8">
        <f>'Peels, Carolyn '!AH15</f>
        <v>1</v>
      </c>
      <c r="BP9" s="8">
        <f>'Peels, Timothy '!AH15</f>
        <v>4</v>
      </c>
      <c r="BQ9" s="8">
        <f>'Poff, Jessica '!AH15</f>
        <v>1</v>
      </c>
      <c r="BR9" s="8">
        <f>'Rankin, Alan '!AH15</f>
        <v>1</v>
      </c>
      <c r="BS9" s="8">
        <f>'Reagan, Sandra'!AH15</f>
        <v>1</v>
      </c>
      <c r="BT9" s="8">
        <f>'Redman, Melissa'!AH15</f>
        <v>1</v>
      </c>
      <c r="BU9" s="8">
        <f>'Richesin, Joey '!AH15</f>
        <v>3</v>
      </c>
      <c r="BV9" s="8">
        <f>'Roberts, Beverly'!AH15</f>
        <v>7</v>
      </c>
      <c r="BW9" s="8">
        <f>'Roberts, Lisa '!AH15</f>
        <v>7</v>
      </c>
      <c r="BX9" s="8">
        <f>'Roberts, Lori '!AH15</f>
        <v>0</v>
      </c>
      <c r="BY9" s="8">
        <f>'Rupinski, Angela '!AH15</f>
        <v>4</v>
      </c>
      <c r="BZ9" s="8">
        <f>'Rupinski, Alexis'!AH15</f>
        <v>6</v>
      </c>
      <c r="CA9" s="8">
        <f>'Schutt, Caleb '!AH15</f>
        <v>2</v>
      </c>
      <c r="CB9" s="8">
        <f>'Schomaker, Carla '!AH15</f>
        <v>0</v>
      </c>
      <c r="CC9" s="8">
        <f>'Selby, Chasity '!AH15</f>
        <v>2</v>
      </c>
      <c r="CD9" s="8">
        <f>'Self, Janet '!AH15</f>
        <v>0</v>
      </c>
      <c r="CE9" s="8">
        <f>'Sharp, Sonia '!AH15</f>
        <v>1</v>
      </c>
      <c r="CF9" s="8">
        <f>'Shaw, Teia '!AH15</f>
        <v>1</v>
      </c>
      <c r="CG9" s="8">
        <f>'Shepherd, Christina'!AH15</f>
        <v>0</v>
      </c>
      <c r="CH9" s="8">
        <f>'Smith, Shannon'!AH15</f>
        <v>1</v>
      </c>
      <c r="CI9" s="8">
        <f>'Smith,Justin'!AH15</f>
        <v>0</v>
      </c>
      <c r="CJ9" s="8">
        <f>'Stafford, Tabitha '!AH15</f>
        <v>1</v>
      </c>
      <c r="CK9" s="8">
        <f>'Stevens, Lorie'!AH15</f>
        <v>0</v>
      </c>
      <c r="CL9" s="8">
        <f>'Thomas, Emily '!AH15</f>
        <v>4</v>
      </c>
      <c r="CM9" s="8">
        <f>'Tipton, Rebecca'!AH15</f>
        <v>10</v>
      </c>
      <c r="CN9" s="8">
        <f>'Vaughn, Gregory '!AH15</f>
        <v>3</v>
      </c>
      <c r="CO9" s="8">
        <f>'Veit, Jordan '!AH15</f>
        <v>18</v>
      </c>
      <c r="CP9" s="8">
        <f>'Watson, Dennis '!AH15</f>
        <v>6</v>
      </c>
      <c r="CQ9" s="8">
        <f>'Wells, James '!AH15</f>
        <v>0</v>
      </c>
      <c r="CR9" s="8">
        <f>'West, Sandra '!AH15</f>
        <v>1</v>
      </c>
      <c r="CS9" s="8">
        <f>'Young, Karen '!AH15</f>
        <v>2</v>
      </c>
      <c r="CU9" s="67">
        <f t="shared" si="0"/>
        <v>2.7708333333333335</v>
      </c>
      <c r="CV9" s="67">
        <f t="shared" si="1"/>
        <v>3.5377041816965118</v>
      </c>
      <c r="CW9" s="67">
        <f t="shared" si="2"/>
        <v>1.2767654189581394</v>
      </c>
    </row>
    <row r="10" spans="1:101" ht="13" x14ac:dyDescent="0.25">
      <c r="A10" s="65" t="s">
        <v>305</v>
      </c>
      <c r="B10" s="8">
        <f>'Akulic, Marlene'!AH16</f>
        <v>0</v>
      </c>
      <c r="C10" s="8">
        <f>'Armstrong, Mary'!AH16</f>
        <v>1</v>
      </c>
      <c r="D10" s="8">
        <f>'Atkins, Reva'!AH16</f>
        <v>2</v>
      </c>
      <c r="E10" s="8">
        <f>'Barnes, Ashley'!AH16</f>
        <v>0</v>
      </c>
      <c r="F10" s="8">
        <f>'Barnes, Eric '!AH16</f>
        <v>1</v>
      </c>
      <c r="G10" s="8">
        <f>'Barnes, Sarah '!AH16</f>
        <v>1</v>
      </c>
      <c r="H10" s="8">
        <f>'Bivens, Bethany'!AH16</f>
        <v>2</v>
      </c>
      <c r="I10" s="8">
        <f>'Bivens, Diane'!AH16</f>
        <v>4</v>
      </c>
      <c r="J10" s="8">
        <f>'Bivens, Tammie'!AH16</f>
        <v>2</v>
      </c>
      <c r="K10" s="8">
        <f>'Bledsoe, Amy '!AH16</f>
        <v>3</v>
      </c>
      <c r="L10" s="8">
        <f>'Bookout, Nancy '!AH16</f>
        <v>3</v>
      </c>
      <c r="M10" s="8">
        <f>'Bourzac, Nanette Lo '!AH16</f>
        <v>3</v>
      </c>
      <c r="N10" s="8">
        <f>'Brooks, Tammy '!AH16</f>
        <v>11</v>
      </c>
      <c r="O10" s="8">
        <f>'Brummett, Sebrina'!AH16</f>
        <v>4</v>
      </c>
      <c r="P10" s="8">
        <f>'Bryan, Sheena'!AH16</f>
        <v>5</v>
      </c>
      <c r="Q10" s="8">
        <f>'Burger, Mary'!AH16</f>
        <v>3</v>
      </c>
      <c r="R10" s="8">
        <f>'Cannon, Jennifer'!AH16</f>
        <v>4</v>
      </c>
      <c r="S10" s="8">
        <f>'Carroll, Robin '!AH16</f>
        <v>1</v>
      </c>
      <c r="T10" s="8">
        <f>'Cathcart, Bess '!AH16</f>
        <v>15</v>
      </c>
      <c r="U10" s="8">
        <f>'Childress, Stacy '!AH16</f>
        <v>2</v>
      </c>
      <c r="V10" s="8">
        <f>'Clark, Elizabeth '!AH16</f>
        <v>2</v>
      </c>
      <c r="W10" s="8">
        <f>'Coburn, Lisa '!AH16</f>
        <v>1</v>
      </c>
      <c r="X10" s="8">
        <f>'Cooley, Tammy '!AH16</f>
        <v>3</v>
      </c>
      <c r="Y10" s="8">
        <f>'Cooper, Alice'!AH16</f>
        <v>0</v>
      </c>
      <c r="Z10" s="8">
        <f>'Davis, Kimberly '!AH16</f>
        <v>1</v>
      </c>
      <c r="AA10" s="8">
        <f>'Douglas, Krystopher'!AH16</f>
        <v>0</v>
      </c>
      <c r="AB10" s="8">
        <f>'Davis, Tyler '!AH16</f>
        <v>2</v>
      </c>
      <c r="AC10" s="8">
        <f>'Dotson, Wanda '!AH16</f>
        <v>4</v>
      </c>
      <c r="AD10" s="8">
        <f>'Dunn, Lois '!AH16</f>
        <v>0</v>
      </c>
      <c r="AE10" s="8">
        <f>'Fabrizio, Jamie '!AH16</f>
        <v>1</v>
      </c>
      <c r="AF10" s="8">
        <f>'Ghormley, Kelly '!AH16</f>
        <v>5</v>
      </c>
      <c r="AG10" s="8">
        <f>'Gibby, Benjamin '!AH16</f>
        <v>1</v>
      </c>
      <c r="AH10" s="8">
        <f>'Gibby, Deborah '!AH16</f>
        <v>1</v>
      </c>
      <c r="AI10" s="8">
        <f>'Givens, Robert '!AH16</f>
        <v>0</v>
      </c>
      <c r="AJ10" s="8">
        <f>'Godwin, Tonya '!AH16</f>
        <v>0</v>
      </c>
      <c r="AK10" s="8">
        <f>'Hall, Fredrick '!AH16</f>
        <v>0</v>
      </c>
      <c r="AL10" s="8">
        <f>'Hall, Mary '!AH16</f>
        <v>0</v>
      </c>
      <c r="AM10" s="8">
        <f>'Hampton, Angela '!AH16</f>
        <v>1</v>
      </c>
      <c r="AN10" s="8">
        <f>'Harris, Nancy '!AH16</f>
        <v>2</v>
      </c>
      <c r="AO10" s="8">
        <f>'Harrison, Chuck '!AH16</f>
        <v>0</v>
      </c>
      <c r="AP10" s="8">
        <f>'Headrick, Lena '!AH16</f>
        <v>2</v>
      </c>
      <c r="AQ10" s="8">
        <f>'Helton, Lisa'!AH16</f>
        <v>1</v>
      </c>
      <c r="AR10" s="8">
        <f>'Hicks, lisa '!AH16</f>
        <v>1</v>
      </c>
      <c r="AS10" s="8">
        <f>'Hicks, Shelby'!AH16</f>
        <v>1</v>
      </c>
      <c r="AT10" s="8">
        <f>'Howarth, Amy '!AH16</f>
        <v>0</v>
      </c>
      <c r="AU10" s="8">
        <f>'Hunt, Nancy '!AH16</f>
        <v>2</v>
      </c>
      <c r="AV10" s="8">
        <f>'Jones, Deborah'!AH16</f>
        <v>0</v>
      </c>
      <c r="AW10" s="8">
        <f>'Kelly, Delmis '!AH16</f>
        <v>1</v>
      </c>
      <c r="AX10" s="8">
        <f>'Kelly, Justin '!AH16</f>
        <v>1</v>
      </c>
      <c r="AY10" s="8">
        <f>'Kliever, Debbie '!AH16</f>
        <v>0</v>
      </c>
      <c r="AZ10" s="8">
        <f>'Lee, Ginger '!AH16</f>
        <v>2</v>
      </c>
      <c r="BA10" s="8">
        <f>'Lorenz, Viola '!AH16</f>
        <v>0</v>
      </c>
      <c r="BB10" s="8">
        <f>'Marrero, Rachel '!AH16</f>
        <v>4</v>
      </c>
      <c r="BC10" s="8">
        <f>'Martin, Dusty '!AH16</f>
        <v>0</v>
      </c>
      <c r="BD10" s="8">
        <f>'May, Cynthia '!AH16</f>
        <v>1</v>
      </c>
      <c r="BE10" s="8">
        <f>'McCluskey, Loreta '!AH16</f>
        <v>2</v>
      </c>
      <c r="BF10" s="8">
        <f>'McDaniel, Kaylee'!AH16</f>
        <v>1</v>
      </c>
      <c r="BG10" s="8">
        <f>'McKee, Nathan'!AH16</f>
        <v>4</v>
      </c>
      <c r="BH10" s="8">
        <f>'Miller, Gary '!AH16</f>
        <v>1</v>
      </c>
      <c r="BI10" s="8">
        <f>'Mills, Gary '!AH16</f>
        <v>0</v>
      </c>
      <c r="BJ10" s="8">
        <f>'Moore, Darlene '!AH16</f>
        <v>1</v>
      </c>
      <c r="BK10" s="8">
        <f>'Morris, Jessie'!AH16</f>
        <v>5</v>
      </c>
      <c r="BL10" s="8">
        <f>'Nichols, Brenda '!AH16</f>
        <v>2</v>
      </c>
      <c r="BM10" s="8">
        <f>'Parker, Jerry'!AH16</f>
        <v>1</v>
      </c>
      <c r="BN10" s="8">
        <f>'Patterson, Pamela '!AH16</f>
        <v>0</v>
      </c>
      <c r="BO10" s="8">
        <f>'Peels, Carolyn '!AH16</f>
        <v>0</v>
      </c>
      <c r="BP10" s="8">
        <f>'Peels, Timothy '!AH16</f>
        <v>2</v>
      </c>
      <c r="BQ10" s="8">
        <f>'Poff, Jessica '!AH16</f>
        <v>1</v>
      </c>
      <c r="BR10" s="8">
        <f>'Rankin, Alan '!AH16</f>
        <v>1</v>
      </c>
      <c r="BS10" s="8">
        <f>'Reagan, Sandra'!AH16</f>
        <v>3</v>
      </c>
      <c r="BT10" s="8">
        <f>'Redman, Melissa'!AH16</f>
        <v>0</v>
      </c>
      <c r="BU10" s="8">
        <f>'Richesin, Joey '!AH16</f>
        <v>1</v>
      </c>
      <c r="BV10" s="8">
        <f>'Roberts, Beverly'!AH16</f>
        <v>2</v>
      </c>
      <c r="BW10" s="8">
        <f>'Roberts, Lisa '!AH16</f>
        <v>2</v>
      </c>
      <c r="BX10" s="8">
        <f>'Roberts, Lori '!AH16</f>
        <v>0</v>
      </c>
      <c r="BY10" s="8">
        <f>'Rupinski, Angela '!AH16</f>
        <v>1</v>
      </c>
      <c r="BZ10" s="8">
        <f>'Rupinski, Alexis'!AH16</f>
        <v>4</v>
      </c>
      <c r="CA10" s="8">
        <f>'Schutt, Caleb '!AH16</f>
        <v>1</v>
      </c>
      <c r="CB10" s="8">
        <f>'Schomaker, Carla '!AH16</f>
        <v>0</v>
      </c>
      <c r="CC10" s="8">
        <f>'Selby, Chasity '!AH16</f>
        <v>0</v>
      </c>
      <c r="CD10" s="8">
        <f>'Self, Janet '!AH16</f>
        <v>0</v>
      </c>
      <c r="CE10" s="8">
        <f>'Sharp, Sonia '!AH16</f>
        <v>1</v>
      </c>
      <c r="CF10" s="8">
        <f>'Shaw, Teia '!AH16</f>
        <v>4</v>
      </c>
      <c r="CG10" s="8">
        <f>'Shepherd, Christina'!AH16</f>
        <v>2</v>
      </c>
      <c r="CH10" s="8">
        <f>'Smith, Shannon'!AH16</f>
        <v>1</v>
      </c>
      <c r="CI10" s="8">
        <f>'Smith,Justin'!AH16</f>
        <v>0</v>
      </c>
      <c r="CJ10" s="8">
        <f>'Stafford, Tabitha '!AH16</f>
        <v>2</v>
      </c>
      <c r="CK10" s="8">
        <f>'Stevens, Lorie'!AH16</f>
        <v>6</v>
      </c>
      <c r="CL10" s="8">
        <f>'Thomas, Emily '!AH16</f>
        <v>1</v>
      </c>
      <c r="CM10" s="8">
        <f>'Tipton, Rebecca'!AH16</f>
        <v>3</v>
      </c>
      <c r="CN10" s="8">
        <f>'Vaughn, Gregory '!AH16</f>
        <v>0</v>
      </c>
      <c r="CO10" s="8">
        <f>'Veit, Jordan '!AH16</f>
        <v>1</v>
      </c>
      <c r="CP10" s="8">
        <f>'Watson, Dennis '!AH16</f>
        <v>0</v>
      </c>
      <c r="CQ10" s="8">
        <f>'Wells, James '!AH16</f>
        <v>0</v>
      </c>
      <c r="CR10" s="8">
        <f>'West, Sandra '!AH16</f>
        <v>1</v>
      </c>
      <c r="CS10" s="8">
        <f>'Young, Karen '!AH16</f>
        <v>1</v>
      </c>
      <c r="CU10" s="67">
        <f t="shared" si="0"/>
        <v>1.71875</v>
      </c>
      <c r="CV10" s="67">
        <f t="shared" si="1"/>
        <v>2.2086105420186217</v>
      </c>
      <c r="CW10" s="67">
        <f t="shared" si="2"/>
        <v>1.2850097699017435</v>
      </c>
    </row>
    <row r="11" spans="1:101" ht="13" x14ac:dyDescent="0.25">
      <c r="A11" s="65" t="s">
        <v>306</v>
      </c>
      <c r="B11" s="8">
        <f>'Akulic, Marlene'!AH17</f>
        <v>1</v>
      </c>
      <c r="C11" s="8">
        <f>'Armstrong, Mary'!AH17</f>
        <v>2</v>
      </c>
      <c r="D11" s="8">
        <f>'Atkins, Reva'!AH17</f>
        <v>4</v>
      </c>
      <c r="E11" s="8">
        <f>'Barnes, Ashley'!AH17</f>
        <v>0</v>
      </c>
      <c r="F11" s="8">
        <f>'Barnes, Eric '!AH17</f>
        <v>1</v>
      </c>
      <c r="G11" s="8">
        <f>'Barnes, Sarah '!AH17</f>
        <v>4</v>
      </c>
      <c r="H11" s="8">
        <f>'Bivens, Bethany'!AH17</f>
        <v>2</v>
      </c>
      <c r="I11" s="8">
        <f>'Bivens, Diane'!AH17</f>
        <v>1</v>
      </c>
      <c r="J11" s="8">
        <f>'Bivens, Tammie'!AH17</f>
        <v>0</v>
      </c>
      <c r="K11" s="8">
        <f>'Bledsoe, Amy '!AH17</f>
        <v>5</v>
      </c>
      <c r="L11" s="8">
        <f>'Bookout, Nancy '!AH17</f>
        <v>8</v>
      </c>
      <c r="M11" s="8">
        <f>'Bourzac, Nanette Lo '!AH17</f>
        <v>1</v>
      </c>
      <c r="N11" s="8">
        <f>'Brooks, Tammy '!AH17</f>
        <v>16</v>
      </c>
      <c r="O11" s="8">
        <f>'Brummett, Sebrina'!AH17</f>
        <v>2</v>
      </c>
      <c r="P11" s="8">
        <f>'Bryan, Sheena'!AH17</f>
        <v>2</v>
      </c>
      <c r="Q11" s="8">
        <f>'Burger, Mary'!AH17</f>
        <v>3</v>
      </c>
      <c r="R11" s="8">
        <f>'Cannon, Jennifer'!AH17</f>
        <v>2</v>
      </c>
      <c r="S11" s="8">
        <f>'Carroll, Robin '!AH17</f>
        <v>4</v>
      </c>
      <c r="T11" s="8">
        <f>'Cathcart, Bess '!AH17</f>
        <v>16</v>
      </c>
      <c r="U11" s="8">
        <f>'Childress, Stacy '!AH17</f>
        <v>2</v>
      </c>
      <c r="V11" s="8">
        <f>'Clark, Elizabeth '!AH17</f>
        <v>6</v>
      </c>
      <c r="W11" s="8">
        <f>'Coburn, Lisa '!AH17</f>
        <v>3</v>
      </c>
      <c r="X11" s="8">
        <f>'Cooley, Tammy '!AH17</f>
        <v>2</v>
      </c>
      <c r="Y11" s="8">
        <f>'Cooper, Alice'!AH17</f>
        <v>0</v>
      </c>
      <c r="Z11" s="8">
        <f>'Davis, Kimberly '!AH17</f>
        <v>2</v>
      </c>
      <c r="AA11" s="8">
        <f>'Douglas, Krystopher'!AH17</f>
        <v>0</v>
      </c>
      <c r="AB11" s="8">
        <f>'Davis, Tyler '!AH17</f>
        <v>1</v>
      </c>
      <c r="AC11" s="8">
        <f>'Dotson, Wanda '!AH17</f>
        <v>2</v>
      </c>
      <c r="AD11" s="8">
        <f>'Dunn, Lois '!AH17</f>
        <v>0</v>
      </c>
      <c r="AE11" s="8">
        <f>'Fabrizio, Jamie '!AH17</f>
        <v>0</v>
      </c>
      <c r="AF11" s="8">
        <f>'Ghormley, Kelly '!AH17</f>
        <v>1</v>
      </c>
      <c r="AG11" s="8">
        <f>'Gibby, Benjamin '!AH17</f>
        <v>4</v>
      </c>
      <c r="AH11" s="8">
        <f>'Gibby, Deborah '!AH17</f>
        <v>1</v>
      </c>
      <c r="AI11" s="8">
        <f>'Givens, Robert '!AH17</f>
        <v>3</v>
      </c>
      <c r="AJ11" s="8">
        <f>'Godwin, Tonya '!AH17</f>
        <v>0</v>
      </c>
      <c r="AK11" s="8">
        <f>'Hall, Fredrick '!AH17</f>
        <v>0</v>
      </c>
      <c r="AL11" s="8">
        <f>'Hall, Mary '!AH17</f>
        <v>3</v>
      </c>
      <c r="AM11" s="8">
        <f>'Hampton, Angela '!AH17</f>
        <v>0</v>
      </c>
      <c r="AN11" s="8">
        <f>'Harris, Nancy '!AH17</f>
        <v>2</v>
      </c>
      <c r="AO11" s="8">
        <f>'Harrison, Chuck '!AH17</f>
        <v>0</v>
      </c>
      <c r="AP11" s="8">
        <f>'Headrick, Lena '!AH17</f>
        <v>8</v>
      </c>
      <c r="AQ11" s="8">
        <f>'Helton, Lisa'!AH17</f>
        <v>1</v>
      </c>
      <c r="AR11" s="8">
        <f>'Hicks, lisa '!AH17</f>
        <v>2</v>
      </c>
      <c r="AS11" s="8">
        <f>'Hicks, Shelby'!AH17</f>
        <v>1</v>
      </c>
      <c r="AT11" s="8">
        <f>'Howarth, Amy '!AH17</f>
        <v>0</v>
      </c>
      <c r="AU11" s="8">
        <f>'Hunt, Nancy '!AH17</f>
        <v>0</v>
      </c>
      <c r="AV11" s="8">
        <f>'Jones, Deborah'!AH17</f>
        <v>0</v>
      </c>
      <c r="AW11" s="8">
        <f>'Kelly, Delmis '!AH17</f>
        <v>1</v>
      </c>
      <c r="AX11" s="8">
        <f>'Kelly, Justin '!AH17</f>
        <v>1</v>
      </c>
      <c r="AY11" s="8">
        <f>'Kliever, Debbie '!AH17</f>
        <v>2</v>
      </c>
      <c r="AZ11" s="8">
        <f>'Lee, Ginger '!AH17</f>
        <v>1</v>
      </c>
      <c r="BA11" s="8">
        <f>'Lorenz, Viola '!AH17</f>
        <v>0</v>
      </c>
      <c r="BB11" s="8">
        <f>'Marrero, Rachel '!AH17</f>
        <v>1</v>
      </c>
      <c r="BC11" s="8">
        <f>'Martin, Dusty '!AH17</f>
        <v>0</v>
      </c>
      <c r="BD11" s="8">
        <f>'May, Cynthia '!AH17</f>
        <v>0</v>
      </c>
      <c r="BE11" s="8">
        <f>'McCluskey, Loreta '!AH17</f>
        <v>2</v>
      </c>
      <c r="BF11" s="8">
        <f>'McDaniel, Kaylee'!AH17</f>
        <v>1</v>
      </c>
      <c r="BG11" s="8">
        <f>'McKee, Nathan'!AH17</f>
        <v>2</v>
      </c>
      <c r="BH11" s="8">
        <f>'Miller, Gary '!AH17</f>
        <v>0</v>
      </c>
      <c r="BI11" s="8">
        <f>'Mills, Gary '!AH17</f>
        <v>0</v>
      </c>
      <c r="BJ11" s="8">
        <f>'Moore, Darlene '!AH17</f>
        <v>1</v>
      </c>
      <c r="BK11" s="8">
        <f>'Morris, Jessie'!AH17</f>
        <v>3</v>
      </c>
      <c r="BL11" s="8">
        <f>'Nichols, Brenda '!AH17</f>
        <v>1</v>
      </c>
      <c r="BM11" s="8">
        <f>'Parker, Jerry'!AH17</f>
        <v>3</v>
      </c>
      <c r="BN11" s="8">
        <f>'Patterson, Pamela '!AH17</f>
        <v>2</v>
      </c>
      <c r="BO11" s="8">
        <f>'Peels, Carolyn '!AH17</f>
        <v>2</v>
      </c>
      <c r="BP11" s="8">
        <f>'Peels, Timothy '!AH17</f>
        <v>0</v>
      </c>
      <c r="BQ11" s="8">
        <f>'Poff, Jessica '!AH17</f>
        <v>1</v>
      </c>
      <c r="BR11" s="8">
        <f>'Rankin, Alan '!AH17</f>
        <v>1</v>
      </c>
      <c r="BS11" s="8">
        <f>'Reagan, Sandra'!AH17</f>
        <v>0</v>
      </c>
      <c r="BT11" s="8">
        <f>'Redman, Melissa'!AH17</f>
        <v>1</v>
      </c>
      <c r="BU11" s="8">
        <f>'Richesin, Joey '!AH17</f>
        <v>1</v>
      </c>
      <c r="BV11" s="8">
        <f>'Roberts, Beverly'!AH17</f>
        <v>2</v>
      </c>
      <c r="BW11" s="8">
        <f>'Roberts, Lisa '!AH17</f>
        <v>2</v>
      </c>
      <c r="BX11" s="8">
        <f>'Roberts, Lori '!AH17</f>
        <v>0</v>
      </c>
      <c r="BY11" s="8">
        <f>'Rupinski, Angela '!AH17</f>
        <v>1</v>
      </c>
      <c r="BZ11" s="8">
        <f>'Rupinski, Alexis'!AH17</f>
        <v>6</v>
      </c>
      <c r="CA11" s="8">
        <f>'Schutt, Caleb '!AH17</f>
        <v>0</v>
      </c>
      <c r="CB11" s="8">
        <f>'Schomaker, Carla '!AH17</f>
        <v>0</v>
      </c>
      <c r="CC11" s="8">
        <f>'Selby, Chasity '!AH17</f>
        <v>0</v>
      </c>
      <c r="CD11" s="8">
        <f>'Self, Janet '!AH17</f>
        <v>1</v>
      </c>
      <c r="CE11" s="8">
        <f>'Sharp, Sonia '!AH17</f>
        <v>2</v>
      </c>
      <c r="CF11" s="8">
        <f>'Shaw, Teia '!AH17</f>
        <v>2</v>
      </c>
      <c r="CG11" s="8">
        <f>'Shepherd, Christina'!AH17</f>
        <v>4</v>
      </c>
      <c r="CH11" s="8">
        <f>'Smith, Shannon'!AH17</f>
        <v>1</v>
      </c>
      <c r="CI11" s="8">
        <f>'Smith,Justin'!AH17</f>
        <v>1</v>
      </c>
      <c r="CJ11" s="8">
        <f>'Stafford, Tabitha '!AH17</f>
        <v>1</v>
      </c>
      <c r="CK11" s="8">
        <f>'Stevens, Lorie'!AH17</f>
        <v>8</v>
      </c>
      <c r="CL11" s="8">
        <f>'Thomas, Emily '!AH17</f>
        <v>0</v>
      </c>
      <c r="CM11" s="8">
        <f>'Tipton, Rebecca'!AH17</f>
        <v>4</v>
      </c>
      <c r="CN11" s="8">
        <f>'Vaughn, Gregory '!AH17</f>
        <v>0</v>
      </c>
      <c r="CO11" s="8">
        <f>'Veit, Jordan '!AH17</f>
        <v>2</v>
      </c>
      <c r="CP11" s="8">
        <f>'Watson, Dennis '!AH17</f>
        <v>4</v>
      </c>
      <c r="CQ11" s="8">
        <f>'Wells, James '!AH17</f>
        <v>0</v>
      </c>
      <c r="CR11" s="8">
        <f>'West, Sandra '!AH17</f>
        <v>1</v>
      </c>
      <c r="CS11" s="8">
        <f>'Young, Karen '!AH17</f>
        <v>2</v>
      </c>
      <c r="CU11" s="67">
        <f t="shared" si="0"/>
        <v>1.96875</v>
      </c>
      <c r="CV11" s="67">
        <f t="shared" si="1"/>
        <v>2.731697467259429</v>
      </c>
      <c r="CW11" s="67">
        <f t="shared" si="2"/>
        <v>1.3875288722587575</v>
      </c>
    </row>
    <row r="12" spans="1:101" ht="13" x14ac:dyDescent="0.25">
      <c r="A12" s="65" t="s">
        <v>307</v>
      </c>
      <c r="B12" s="8">
        <f>'Akulic, Marlene'!AH18</f>
        <v>0</v>
      </c>
      <c r="C12" s="8">
        <f>'Armstrong, Mary'!AH18</f>
        <v>0</v>
      </c>
      <c r="D12" s="8">
        <f>'Atkins, Reva'!AH18</f>
        <v>5</v>
      </c>
      <c r="E12" s="8">
        <f>'Barnes, Ashley'!AH18</f>
        <v>1</v>
      </c>
      <c r="F12" s="8">
        <f>'Barnes, Eric '!AH18</f>
        <v>1</v>
      </c>
      <c r="G12" s="8">
        <f>'Barnes, Sarah '!AH18</f>
        <v>1</v>
      </c>
      <c r="H12" s="8">
        <f>'Bivens, Bethany'!AH18</f>
        <v>5</v>
      </c>
      <c r="I12" s="8">
        <f>'Bivens, Diane'!AH18</f>
        <v>1</v>
      </c>
      <c r="J12" s="8">
        <f>'Bivens, Tammie'!AH18</f>
        <v>2</v>
      </c>
      <c r="K12" s="8">
        <f>'Bledsoe, Amy '!AH18</f>
        <v>5</v>
      </c>
      <c r="L12" s="8">
        <f>'Bookout, Nancy '!AH18</f>
        <v>7</v>
      </c>
      <c r="M12" s="8">
        <f>'Bourzac, Nanette Lo '!AH18</f>
        <v>0</v>
      </c>
      <c r="N12" s="8">
        <f>'Brooks, Tammy '!AH18</f>
        <v>7</v>
      </c>
      <c r="O12" s="8">
        <f>'Brummett, Sebrina'!AH18</f>
        <v>4</v>
      </c>
      <c r="P12" s="8">
        <f>'Bryan, Sheena'!AH18</f>
        <v>3</v>
      </c>
      <c r="Q12" s="8">
        <f>'Burger, Mary'!AH18</f>
        <v>3</v>
      </c>
      <c r="R12" s="8">
        <f>'Cannon, Jennifer'!AH18</f>
        <v>2</v>
      </c>
      <c r="S12" s="8">
        <f>'Carroll, Robin '!AH18</f>
        <v>1</v>
      </c>
      <c r="T12" s="8">
        <f>'Cathcart, Bess '!AH18</f>
        <v>3</v>
      </c>
      <c r="U12" s="8">
        <f>'Childress, Stacy '!AH18</f>
        <v>1</v>
      </c>
      <c r="V12" s="8">
        <f>'Clark, Elizabeth '!AH18</f>
        <v>1</v>
      </c>
      <c r="W12" s="8">
        <f>'Coburn, Lisa '!AH18</f>
        <v>4</v>
      </c>
      <c r="X12" s="8">
        <f>'Cooley, Tammy '!AH18</f>
        <v>1</v>
      </c>
      <c r="Y12" s="8">
        <f>'Cooper, Alice'!AH18</f>
        <v>1</v>
      </c>
      <c r="Z12" s="8">
        <f>'Davis, Kimberly '!AH18</f>
        <v>1</v>
      </c>
      <c r="AA12" s="8">
        <f>'Douglas, Krystopher'!AH18</f>
        <v>0</v>
      </c>
      <c r="AB12" s="8">
        <f>'Davis, Tyler '!AH18</f>
        <v>0</v>
      </c>
      <c r="AC12" s="8">
        <f>'Dotson, Wanda '!AH18</f>
        <v>4</v>
      </c>
      <c r="AD12" s="8">
        <f>'Dunn, Lois '!AH18</f>
        <v>1</v>
      </c>
      <c r="AE12" s="8">
        <f>'Fabrizio, Jamie '!AH18</f>
        <v>2</v>
      </c>
      <c r="AF12" s="8">
        <f>'Ghormley, Kelly '!AH18</f>
        <v>2</v>
      </c>
      <c r="AG12" s="8">
        <f>'Gibby, Benjamin '!AH18</f>
        <v>1</v>
      </c>
      <c r="AH12" s="8">
        <f>'Gibby, Deborah '!AH18</f>
        <v>0</v>
      </c>
      <c r="AI12" s="8">
        <f>'Givens, Robert '!AH18</f>
        <v>4</v>
      </c>
      <c r="AJ12" s="8">
        <f>'Godwin, Tonya '!AH18</f>
        <v>0</v>
      </c>
      <c r="AK12" s="8">
        <f>'Hall, Fredrick '!AH18</f>
        <v>0</v>
      </c>
      <c r="AL12" s="8">
        <f>'Hall, Mary '!AH18</f>
        <v>0</v>
      </c>
      <c r="AM12" s="8">
        <f>'Hampton, Angela '!AH18</f>
        <v>5</v>
      </c>
      <c r="AN12" s="8">
        <f>'Harris, Nancy '!AH18</f>
        <v>2</v>
      </c>
      <c r="AO12" s="8">
        <f>'Harrison, Chuck '!AH18</f>
        <v>0</v>
      </c>
      <c r="AP12" s="8">
        <f>'Headrick, Lena '!AH18</f>
        <v>16</v>
      </c>
      <c r="AQ12" s="8">
        <f>'Helton, Lisa'!AH18</f>
        <v>1</v>
      </c>
      <c r="AR12" s="8">
        <f>'Hicks, lisa '!AH18</f>
        <v>4</v>
      </c>
      <c r="AS12" s="8">
        <f>'Hicks, Shelby'!AH18</f>
        <v>5</v>
      </c>
      <c r="AT12" s="8">
        <f>'Howarth, Amy '!AH18</f>
        <v>2</v>
      </c>
      <c r="AU12" s="8">
        <f>'Hunt, Nancy '!AH18</f>
        <v>0</v>
      </c>
      <c r="AV12" s="8">
        <f>'Jones, Deborah'!AH18</f>
        <v>7</v>
      </c>
      <c r="AW12" s="8">
        <f>'Kelly, Delmis '!AH18</f>
        <v>0</v>
      </c>
      <c r="AX12" s="8">
        <f>'Kelly, Justin '!AH18</f>
        <v>1</v>
      </c>
      <c r="AY12" s="8">
        <f>'Kliever, Debbie '!AH18</f>
        <v>3</v>
      </c>
      <c r="AZ12" s="8">
        <f>'Lee, Ginger '!AH18</f>
        <v>1</v>
      </c>
      <c r="BA12" s="8">
        <f>'Lorenz, Viola '!AH18</f>
        <v>2</v>
      </c>
      <c r="BB12" s="8">
        <f>'Marrero, Rachel '!AH18</f>
        <v>3</v>
      </c>
      <c r="BC12" s="8">
        <f>'Martin, Dusty '!AH18</f>
        <v>0</v>
      </c>
      <c r="BD12" s="8">
        <f>'May, Cynthia '!AH18</f>
        <v>2</v>
      </c>
      <c r="BE12" s="8">
        <f>'McCluskey, Loreta '!AH18</f>
        <v>2</v>
      </c>
      <c r="BF12" s="8">
        <f>'McDaniel, Kaylee'!AH18</f>
        <v>5</v>
      </c>
      <c r="BG12" s="8">
        <f>'McKee, Nathan'!AH18</f>
        <v>1</v>
      </c>
      <c r="BH12" s="8">
        <f>'Miller, Gary '!AH18</f>
        <v>3</v>
      </c>
      <c r="BI12" s="8">
        <f>'Mills, Gary '!AH18</f>
        <v>0</v>
      </c>
      <c r="BJ12" s="8">
        <f>'Moore, Darlene '!AH18</f>
        <v>0</v>
      </c>
      <c r="BK12" s="8">
        <f>'Morris, Jessie'!AH18</f>
        <v>4</v>
      </c>
      <c r="BL12" s="8">
        <f>'Nichols, Brenda '!AH18</f>
        <v>1</v>
      </c>
      <c r="BM12" s="8">
        <f>'Parker, Jerry'!AH18</f>
        <v>1</v>
      </c>
      <c r="BN12" s="8">
        <f>'Patterson, Pamela '!AH18</f>
        <v>1</v>
      </c>
      <c r="BO12" s="8">
        <f>'Peels, Carolyn '!AH18</f>
        <v>2</v>
      </c>
      <c r="BP12" s="8">
        <f>'Peels, Timothy '!AH18</f>
        <v>2</v>
      </c>
      <c r="BQ12" s="8">
        <f>'Poff, Jessica '!AH18</f>
        <v>3</v>
      </c>
      <c r="BR12" s="8">
        <f>'Rankin, Alan '!AH18</f>
        <v>1</v>
      </c>
      <c r="BS12" s="8">
        <f>'Reagan, Sandra'!AH18</f>
        <v>0</v>
      </c>
      <c r="BT12" s="8">
        <f>'Redman, Melissa'!AH18</f>
        <v>0</v>
      </c>
      <c r="BU12" s="8">
        <f>'Richesin, Joey '!AH18</f>
        <v>1</v>
      </c>
      <c r="BV12" s="8">
        <f>'Roberts, Beverly'!AH18</f>
        <v>0</v>
      </c>
      <c r="BW12" s="8">
        <f>'Roberts, Lisa '!AH18</f>
        <v>0</v>
      </c>
      <c r="BX12" s="8">
        <f>'Roberts, Lori '!AH18</f>
        <v>0</v>
      </c>
      <c r="BY12" s="8">
        <f>'Rupinski, Angela '!AH18</f>
        <v>0</v>
      </c>
      <c r="BZ12" s="8">
        <f>'Rupinski, Alexis'!AH18</f>
        <v>6</v>
      </c>
      <c r="CA12" s="8">
        <f>'Schutt, Caleb '!AH18</f>
        <v>2</v>
      </c>
      <c r="CB12" s="8">
        <f>'Schomaker, Carla '!AH18</f>
        <v>3</v>
      </c>
      <c r="CC12" s="8">
        <f>'Selby, Chasity '!AH18</f>
        <v>1</v>
      </c>
      <c r="CD12" s="8">
        <f>'Self, Janet '!AH18</f>
        <v>1</v>
      </c>
      <c r="CE12" s="8">
        <f>'Sharp, Sonia '!AH18</f>
        <v>0</v>
      </c>
      <c r="CF12" s="8">
        <f>'Shaw, Teia '!AH18</f>
        <v>2</v>
      </c>
      <c r="CG12" s="8">
        <f>'Shepherd, Christina'!AH18</f>
        <v>2</v>
      </c>
      <c r="CH12" s="8">
        <f>'Smith, Shannon'!AH18</f>
        <v>0</v>
      </c>
      <c r="CI12" s="8">
        <f>'Smith,Justin'!AH18</f>
        <v>0</v>
      </c>
      <c r="CJ12" s="8">
        <f>'Stafford, Tabitha '!AH18</f>
        <v>2</v>
      </c>
      <c r="CK12" s="8">
        <f>'Stevens, Lorie'!AH18</f>
        <v>0</v>
      </c>
      <c r="CL12" s="8">
        <f>'Thomas, Emily '!AH18</f>
        <v>0</v>
      </c>
      <c r="CM12" s="8">
        <f>'Tipton, Rebecca'!AH18</f>
        <v>1</v>
      </c>
      <c r="CN12" s="8">
        <f>'Vaughn, Gregory '!AH18</f>
        <v>0</v>
      </c>
      <c r="CO12" s="8">
        <f>'Veit, Jordan '!AH18</f>
        <v>6</v>
      </c>
      <c r="CP12" s="8">
        <f>'Watson, Dennis '!AH18</f>
        <v>2</v>
      </c>
      <c r="CQ12" s="8">
        <f>'Wells, James '!AH18</f>
        <v>2</v>
      </c>
      <c r="CR12" s="8">
        <f>'West, Sandra '!AH18</f>
        <v>0</v>
      </c>
      <c r="CS12" s="8">
        <f>'Young, Karen '!AH18</f>
        <v>1</v>
      </c>
      <c r="CU12" s="67">
        <f t="shared" si="0"/>
        <v>1.9375</v>
      </c>
      <c r="CV12" s="67">
        <f t="shared" si="1"/>
        <v>2.3522106063960568</v>
      </c>
      <c r="CW12" s="67">
        <f t="shared" si="2"/>
        <v>1.2140441839463518</v>
      </c>
    </row>
    <row r="13" spans="1:101" ht="13" x14ac:dyDescent="0.25">
      <c r="A13" s="65" t="s">
        <v>308</v>
      </c>
      <c r="B13" s="8">
        <f>'Akulic, Marlene'!AH19</f>
        <v>0</v>
      </c>
      <c r="C13" s="8">
        <f>'Armstrong, Mary'!AH19</f>
        <v>0</v>
      </c>
      <c r="D13" s="8">
        <f>'Atkins, Reva'!AH19</f>
        <v>2</v>
      </c>
      <c r="E13" s="8">
        <f>'Barnes, Ashley'!AH19</f>
        <v>1</v>
      </c>
      <c r="F13" s="8">
        <f>'Barnes, Eric '!AH19</f>
        <v>0</v>
      </c>
      <c r="G13" s="8">
        <f>'Barnes, Sarah '!AH19</f>
        <v>0</v>
      </c>
      <c r="H13" s="8">
        <f>'Bivens, Bethany'!AH19</f>
        <v>1</v>
      </c>
      <c r="I13" s="8">
        <f>'Bivens, Diane'!AH19</f>
        <v>2</v>
      </c>
      <c r="J13" s="8">
        <f>'Bivens, Tammie'!AH19</f>
        <v>0</v>
      </c>
      <c r="K13" s="8">
        <f>'Bledsoe, Amy '!AH19</f>
        <v>1</v>
      </c>
      <c r="L13" s="8">
        <f>'Bookout, Nancy '!AH19</f>
        <v>1</v>
      </c>
      <c r="M13" s="8">
        <f>'Bourzac, Nanette Lo '!AH19</f>
        <v>1</v>
      </c>
      <c r="N13" s="8">
        <f>'Brooks, Tammy '!AH19</f>
        <v>1</v>
      </c>
      <c r="O13" s="8">
        <f>'Brummett, Sebrina'!AH19</f>
        <v>2</v>
      </c>
      <c r="P13" s="8">
        <f>'Bryan, Sheena'!AH19</f>
        <v>1</v>
      </c>
      <c r="Q13" s="8">
        <f>'Burger, Mary'!AH19</f>
        <v>3</v>
      </c>
      <c r="R13" s="8">
        <f>'Cannon, Jennifer'!AH19</f>
        <v>1</v>
      </c>
      <c r="S13" s="8">
        <f>'Carroll, Robin '!AH19</f>
        <v>0</v>
      </c>
      <c r="T13" s="8">
        <f>'Cathcart, Bess '!AH19</f>
        <v>2</v>
      </c>
      <c r="U13" s="8">
        <f>'Childress, Stacy '!AH19</f>
        <v>3</v>
      </c>
      <c r="V13" s="8">
        <f>'Clark, Elizabeth '!AH19</f>
        <v>2</v>
      </c>
      <c r="W13" s="8">
        <f>'Coburn, Lisa '!AH19</f>
        <v>1</v>
      </c>
      <c r="X13" s="8">
        <f>'Cooley, Tammy '!AH19</f>
        <v>3</v>
      </c>
      <c r="Y13" s="8">
        <f>'Cooper, Alice'!AH19</f>
        <v>3</v>
      </c>
      <c r="Z13" s="8">
        <f>'Davis, Kimberly '!AH19</f>
        <v>0</v>
      </c>
      <c r="AA13" s="8">
        <f>'Douglas, Krystopher'!AH19</f>
        <v>1</v>
      </c>
      <c r="AB13" s="8">
        <f>'Davis, Tyler '!AH19</f>
        <v>0</v>
      </c>
      <c r="AC13" s="8">
        <f>'Dotson, Wanda '!AH19</f>
        <v>2</v>
      </c>
      <c r="AD13" s="8">
        <f>'Dunn, Lois '!AH19</f>
        <v>0</v>
      </c>
      <c r="AE13" s="8">
        <f>'Fabrizio, Jamie '!AH19</f>
        <v>0</v>
      </c>
      <c r="AF13" s="8">
        <f>'Ghormley, Kelly '!AH19</f>
        <v>0</v>
      </c>
      <c r="AG13" s="8">
        <f>'Gibby, Benjamin '!AH19</f>
        <v>0</v>
      </c>
      <c r="AH13" s="8">
        <f>'Gibby, Deborah '!AH19</f>
        <v>0</v>
      </c>
      <c r="AI13" s="8">
        <f>'Givens, Robert '!AH19</f>
        <v>5</v>
      </c>
      <c r="AJ13" s="8">
        <f>'Godwin, Tonya '!AH19</f>
        <v>0</v>
      </c>
      <c r="AK13" s="8">
        <f>'Hall, Fredrick '!AH19</f>
        <v>0</v>
      </c>
      <c r="AL13" s="8">
        <f>'Hall, Mary '!AH19</f>
        <v>0</v>
      </c>
      <c r="AM13" s="8">
        <f>'Hampton, Angela '!AH19</f>
        <v>0</v>
      </c>
      <c r="AN13" s="8">
        <f>'Harris, Nancy '!AH19</f>
        <v>4</v>
      </c>
      <c r="AO13" s="8">
        <f>'Harrison, Chuck '!AH19</f>
        <v>0</v>
      </c>
      <c r="AP13" s="8">
        <f>'Headrick, Lena '!AH19</f>
        <v>9</v>
      </c>
      <c r="AQ13" s="8">
        <f>'Helton, Lisa'!AH19</f>
        <v>1</v>
      </c>
      <c r="AR13" s="8">
        <f>'Hicks, lisa '!AH19</f>
        <v>1</v>
      </c>
      <c r="AS13" s="8">
        <f>'Hicks, Shelby'!AH19</f>
        <v>2</v>
      </c>
      <c r="AT13" s="8">
        <f>'Howarth, Amy '!AH19</f>
        <v>0</v>
      </c>
      <c r="AU13" s="8">
        <f>'Hunt, Nancy '!AH19</f>
        <v>0</v>
      </c>
      <c r="AV13" s="8">
        <f>'Jones, Deborah'!AH19</f>
        <v>1</v>
      </c>
      <c r="AW13" s="8">
        <f>'Kelly, Delmis '!AH19</f>
        <v>0</v>
      </c>
      <c r="AX13" s="8">
        <f>'Kelly, Justin '!AH19</f>
        <v>0</v>
      </c>
      <c r="AY13" s="8">
        <f>'Kliever, Debbie '!AH19</f>
        <v>0</v>
      </c>
      <c r="AZ13" s="8">
        <f>'Lee, Ginger '!AH19</f>
        <v>3</v>
      </c>
      <c r="BA13" s="8">
        <f>'Lorenz, Viola '!AH19</f>
        <v>1</v>
      </c>
      <c r="BB13" s="8">
        <f>'Marrero, Rachel '!AH19</f>
        <v>0</v>
      </c>
      <c r="BC13" s="8">
        <f>'Martin, Dusty '!AH19</f>
        <v>0</v>
      </c>
      <c r="BD13" s="8">
        <f>'May, Cynthia '!AH19</f>
        <v>2</v>
      </c>
      <c r="BE13" s="8">
        <f>'McCluskey, Loreta '!AH19</f>
        <v>0</v>
      </c>
      <c r="BF13" s="8">
        <f>'McDaniel, Kaylee'!AH19</f>
        <v>1</v>
      </c>
      <c r="BG13" s="8">
        <f>'McKee, Nathan'!AH19</f>
        <v>9</v>
      </c>
      <c r="BH13" s="8">
        <f>'Miller, Gary '!AH19</f>
        <v>1</v>
      </c>
      <c r="BI13" s="8">
        <f>'Mills, Gary '!AH19</f>
        <v>0</v>
      </c>
      <c r="BJ13" s="8">
        <f>'Moore, Darlene '!AH19</f>
        <v>4</v>
      </c>
      <c r="BK13" s="8">
        <f>'Morris, Jessie'!AH19</f>
        <v>5</v>
      </c>
      <c r="BL13" s="8">
        <f>'Nichols, Brenda '!AH19</f>
        <v>1</v>
      </c>
      <c r="BM13" s="8">
        <f>'Parker, Jerry'!AH19</f>
        <v>0</v>
      </c>
      <c r="BN13" s="8">
        <f>'Patterson, Pamela '!AH19</f>
        <v>1</v>
      </c>
      <c r="BO13" s="8">
        <f>'Peels, Carolyn '!AH19</f>
        <v>0</v>
      </c>
      <c r="BP13" s="8">
        <f>'Peels, Timothy '!AH19</f>
        <v>2</v>
      </c>
      <c r="BQ13" s="8">
        <f>'Poff, Jessica '!AH19</f>
        <v>2</v>
      </c>
      <c r="BR13" s="8">
        <f>'Rankin, Alan '!AH19</f>
        <v>3</v>
      </c>
      <c r="BS13" s="8">
        <f>'Reagan, Sandra'!AH19</f>
        <v>0</v>
      </c>
      <c r="BT13" s="8">
        <f>'Redman, Melissa'!AH19</f>
        <v>0</v>
      </c>
      <c r="BU13" s="8">
        <f>'Richesin, Joey '!AH19</f>
        <v>0</v>
      </c>
      <c r="BV13" s="8">
        <f>'Roberts, Beverly'!AH19</f>
        <v>0</v>
      </c>
      <c r="BW13" s="8">
        <f>'Roberts, Lisa '!AH19</f>
        <v>0</v>
      </c>
      <c r="BX13" s="8">
        <f>'Roberts, Lori '!AH19</f>
        <v>0</v>
      </c>
      <c r="BY13" s="8">
        <f>'Rupinski, Angela '!AH19</f>
        <v>0</v>
      </c>
      <c r="BZ13" s="8">
        <f>'Rupinski, Alexis'!AH19</f>
        <v>4</v>
      </c>
      <c r="CA13" s="8">
        <f>'Schutt, Caleb '!AH19</f>
        <v>2</v>
      </c>
      <c r="CB13" s="8">
        <f>'Schomaker, Carla '!AH19</f>
        <v>2</v>
      </c>
      <c r="CC13" s="8">
        <f>'Selby, Chasity '!AH19</f>
        <v>2</v>
      </c>
      <c r="CD13" s="8">
        <f>'Self, Janet '!AH19</f>
        <v>0</v>
      </c>
      <c r="CE13" s="8">
        <f>'Sharp, Sonia '!AH19</f>
        <v>0</v>
      </c>
      <c r="CF13" s="8">
        <f>'Shaw, Teia '!AH19</f>
        <v>0</v>
      </c>
      <c r="CG13" s="8">
        <f>'Shepherd, Christina'!AH19</f>
        <v>0</v>
      </c>
      <c r="CH13" s="8">
        <f>'Smith, Shannon'!AH19</f>
        <v>1</v>
      </c>
      <c r="CI13" s="8">
        <f>'Smith,Justin'!AH19</f>
        <v>1</v>
      </c>
      <c r="CJ13" s="8">
        <f>'Stafford, Tabitha '!AH19</f>
        <v>1</v>
      </c>
      <c r="CK13" s="8">
        <f>'Stevens, Lorie'!AH19</f>
        <v>0</v>
      </c>
      <c r="CL13" s="8">
        <f>'Thomas, Emily '!AH19</f>
        <v>0</v>
      </c>
      <c r="CM13" s="8">
        <f>'Tipton, Rebecca'!AH19</f>
        <v>1</v>
      </c>
      <c r="CN13" s="8">
        <f>'Vaughn, Gregory '!AH19</f>
        <v>0</v>
      </c>
      <c r="CO13" s="8">
        <f>'Veit, Jordan '!AH19</f>
        <v>2</v>
      </c>
      <c r="CP13" s="8">
        <f>'Watson, Dennis '!AH19</f>
        <v>1</v>
      </c>
      <c r="CQ13" s="8">
        <f>'Wells, James '!AH19</f>
        <v>3</v>
      </c>
      <c r="CR13" s="8">
        <f>'West, Sandra '!AH19</f>
        <v>0</v>
      </c>
      <c r="CS13" s="8">
        <f>'Young, Karen '!AH19</f>
        <v>5</v>
      </c>
      <c r="CU13" s="67">
        <f t="shared" si="0"/>
        <v>1.21875</v>
      </c>
      <c r="CV13" s="67">
        <f t="shared" si="1"/>
        <v>1.7302456472998278</v>
      </c>
      <c r="CW13" s="67">
        <f t="shared" si="2"/>
        <v>1.4196887362460124</v>
      </c>
    </row>
    <row r="14" spans="1:101" ht="13" x14ac:dyDescent="0.25">
      <c r="A14" s="65" t="s">
        <v>297</v>
      </c>
      <c r="B14" s="66">
        <f>B2/21</f>
        <v>4.7619047619047616E-2</v>
      </c>
      <c r="C14" s="66">
        <f>C2/21</f>
        <v>0</v>
      </c>
      <c r="D14" s="66">
        <f>D2/21</f>
        <v>0.42857142857142855</v>
      </c>
      <c r="E14" s="66">
        <f>E2/21</f>
        <v>0</v>
      </c>
      <c r="F14" s="66">
        <f>F2/21</f>
        <v>0.2857142857142857</v>
      </c>
      <c r="G14" s="66">
        <f>G2/21</f>
        <v>0.2857142857142857</v>
      </c>
      <c r="H14" s="66">
        <f>H2/21</f>
        <v>0</v>
      </c>
      <c r="I14" s="66">
        <f>I2/21</f>
        <v>9.5238095238095233E-2</v>
      </c>
      <c r="J14" s="66">
        <f>J2/21</f>
        <v>4.7619047619047616E-2</v>
      </c>
      <c r="K14" s="66">
        <f>K2/21</f>
        <v>0.23809523809523808</v>
      </c>
      <c r="L14" s="66">
        <f>L2/21</f>
        <v>0.23809523809523808</v>
      </c>
      <c r="M14" s="66">
        <f>M2/21</f>
        <v>0.33333333333333331</v>
      </c>
      <c r="N14" s="66">
        <f>N2/21</f>
        <v>0.2857142857142857</v>
      </c>
      <c r="O14" s="66">
        <f>O2/21</f>
        <v>0</v>
      </c>
      <c r="P14" s="66">
        <f>P2/21</f>
        <v>0.19047619047619047</v>
      </c>
      <c r="Q14" s="66">
        <f>Q2/21</f>
        <v>4.7619047619047616E-2</v>
      </c>
      <c r="R14" s="66">
        <f>R2/21</f>
        <v>0</v>
      </c>
      <c r="S14" s="66">
        <f>S2/21</f>
        <v>0.23809523809523808</v>
      </c>
      <c r="T14" s="66">
        <f>T2/21</f>
        <v>4.7619047619047616E-2</v>
      </c>
      <c r="U14" s="66">
        <f>U2/21</f>
        <v>9.5238095238095233E-2</v>
      </c>
      <c r="V14" s="66">
        <f>V2/21</f>
        <v>0.14285714285714285</v>
      </c>
      <c r="W14" s="66">
        <f>W2/21</f>
        <v>0.23809523809523808</v>
      </c>
      <c r="X14" s="66">
        <f>X2/21</f>
        <v>0.19047619047619047</v>
      </c>
      <c r="Y14" s="66">
        <f>Y2/21</f>
        <v>9.5238095238095233E-2</v>
      </c>
      <c r="Z14" s="66">
        <f>Z2/21</f>
        <v>4.7619047619047616E-2</v>
      </c>
      <c r="AA14" s="66">
        <f>AA2/21</f>
        <v>0.23809523809523808</v>
      </c>
      <c r="AB14" s="66">
        <f>AB2/21</f>
        <v>0.2857142857142857</v>
      </c>
      <c r="AC14" s="66">
        <f>AC2/21</f>
        <v>0.33333333333333331</v>
      </c>
      <c r="AD14" s="66">
        <f>AD2/21</f>
        <v>0.23809523809523808</v>
      </c>
      <c r="AE14" s="66">
        <f>AE2/21</f>
        <v>0.19047619047619047</v>
      </c>
      <c r="AF14" s="66">
        <f>AF2/21</f>
        <v>0</v>
      </c>
      <c r="AG14" s="66">
        <f>AG2/21</f>
        <v>9.5238095238095233E-2</v>
      </c>
      <c r="AH14" s="66">
        <f>AH2/21</f>
        <v>9.5238095238095233E-2</v>
      </c>
      <c r="AI14" s="66">
        <f>AI2/21</f>
        <v>0</v>
      </c>
      <c r="AJ14" s="66">
        <f>AJ2/21</f>
        <v>0.33333333333333331</v>
      </c>
      <c r="AK14" s="66">
        <f>AK2/21</f>
        <v>9.5238095238095233E-2</v>
      </c>
      <c r="AL14" s="66">
        <f>AL2/21</f>
        <v>9.5238095238095233E-2</v>
      </c>
      <c r="AM14" s="66">
        <f>AM2/21</f>
        <v>0.14285714285714285</v>
      </c>
      <c r="AN14" s="66">
        <f>AN2/21</f>
        <v>0.19047619047619047</v>
      </c>
      <c r="AO14" s="66">
        <f>AO2/21</f>
        <v>0</v>
      </c>
      <c r="AP14" s="66">
        <f>AP2/21</f>
        <v>0.52380952380952384</v>
      </c>
      <c r="AQ14" s="66">
        <f>AQ2/21</f>
        <v>0.23809523809523808</v>
      </c>
      <c r="AR14" s="66">
        <f>AR2/21</f>
        <v>0.23809523809523808</v>
      </c>
      <c r="AS14" s="66">
        <f>AS2/21</f>
        <v>0.23809523809523808</v>
      </c>
      <c r="AT14" s="66">
        <f>AT2/21</f>
        <v>0.23809523809523808</v>
      </c>
      <c r="AU14" s="66">
        <f>AU2/21</f>
        <v>0</v>
      </c>
      <c r="AV14" s="66">
        <f>AV2/21</f>
        <v>0</v>
      </c>
      <c r="AW14" s="66">
        <f>AW2/21</f>
        <v>0</v>
      </c>
      <c r="AX14" s="66">
        <f>AX2/21</f>
        <v>0</v>
      </c>
      <c r="AY14" s="66">
        <f>AY2/21</f>
        <v>0.23809523809523808</v>
      </c>
      <c r="AZ14" s="66">
        <f>AZ2/21</f>
        <v>0.19047619047619047</v>
      </c>
      <c r="BA14" s="66">
        <f>BA2/21</f>
        <v>4.7619047619047616E-2</v>
      </c>
      <c r="BB14" s="66">
        <f>BB2/21</f>
        <v>0.23809523809523808</v>
      </c>
      <c r="BC14" s="66">
        <f>BC2/21</f>
        <v>0</v>
      </c>
      <c r="BD14" s="66">
        <f>BD2/21</f>
        <v>0.47619047619047616</v>
      </c>
      <c r="BE14" s="66">
        <f>BE2/21</f>
        <v>0.19047619047619047</v>
      </c>
      <c r="BF14" s="66">
        <f>BF2/21</f>
        <v>0</v>
      </c>
      <c r="BG14" s="66">
        <f>BG2/21</f>
        <v>0.14285714285714285</v>
      </c>
      <c r="BH14" s="66">
        <f>BH2/21</f>
        <v>4.7619047619047616E-2</v>
      </c>
      <c r="BI14" s="66">
        <f>BI2/21</f>
        <v>9.5238095238095233E-2</v>
      </c>
      <c r="BJ14" s="66">
        <f>BJ2/21</f>
        <v>0.2857142857142857</v>
      </c>
      <c r="BK14" s="66">
        <f>BK2/21</f>
        <v>0</v>
      </c>
      <c r="BL14" s="66">
        <f>BL2/21</f>
        <v>0.19047619047619047</v>
      </c>
      <c r="BM14" s="66">
        <f>BM2/21</f>
        <v>0</v>
      </c>
      <c r="BN14" s="66">
        <f>BN2/21</f>
        <v>0.19047619047619047</v>
      </c>
      <c r="BO14" s="66">
        <f>BO2/21</f>
        <v>0.19047619047619047</v>
      </c>
      <c r="BP14" s="66">
        <f>BP2/21</f>
        <v>4.7619047619047616E-2</v>
      </c>
      <c r="BQ14" s="66">
        <f>BQ2/21</f>
        <v>0</v>
      </c>
      <c r="BR14" s="66">
        <f>BR2/21</f>
        <v>0</v>
      </c>
      <c r="BS14" s="66">
        <f>BS2/21</f>
        <v>0</v>
      </c>
      <c r="BT14" s="66">
        <f>BT2/21</f>
        <v>0</v>
      </c>
      <c r="BU14" s="66">
        <f>BU2/21</f>
        <v>0</v>
      </c>
      <c r="BV14" s="66">
        <f>BV2/21</f>
        <v>9.5238095238095233E-2</v>
      </c>
      <c r="BW14" s="66">
        <f>BW2/21</f>
        <v>9.5238095238095233E-2</v>
      </c>
      <c r="BX14" s="66">
        <f>BX2/21</f>
        <v>0.14285714285714285</v>
      </c>
      <c r="BY14" s="66">
        <f>BY2/21</f>
        <v>0.2857142857142857</v>
      </c>
      <c r="BZ14" s="66">
        <f>BZ2/21</f>
        <v>0</v>
      </c>
      <c r="CA14" s="66">
        <f>CA2/21</f>
        <v>0</v>
      </c>
      <c r="CB14" s="66">
        <f>CB2/21</f>
        <v>0</v>
      </c>
      <c r="CC14" s="66">
        <f>CC2/21</f>
        <v>4.7619047619047616E-2</v>
      </c>
      <c r="CD14" s="66">
        <f>CD2/21</f>
        <v>0.2857142857142857</v>
      </c>
      <c r="CE14" s="66">
        <f>CE2/21</f>
        <v>0.14285714285714285</v>
      </c>
      <c r="CF14" s="66">
        <f>CF2/21</f>
        <v>0.23809523809523808</v>
      </c>
      <c r="CG14" s="66">
        <f>CG2/21</f>
        <v>0</v>
      </c>
      <c r="CH14" s="66">
        <f>CH2/21</f>
        <v>0</v>
      </c>
      <c r="CI14" s="66">
        <f>CI2/21</f>
        <v>0</v>
      </c>
      <c r="CJ14" s="66">
        <f>CJ2/21</f>
        <v>0.19047619047619047</v>
      </c>
      <c r="CK14" s="66">
        <f>CK2/21</f>
        <v>0</v>
      </c>
      <c r="CL14" s="66">
        <f>CL2/21</f>
        <v>4.7619047619047616E-2</v>
      </c>
      <c r="CM14" s="66">
        <f>CM2/21</f>
        <v>0</v>
      </c>
      <c r="CN14" s="66">
        <f>CN2/21</f>
        <v>0</v>
      </c>
      <c r="CO14" s="66">
        <f>CO2/21</f>
        <v>0.47619047619047616</v>
      </c>
      <c r="CP14" s="66">
        <f>CP2/21</f>
        <v>4.7619047619047616E-2</v>
      </c>
      <c r="CQ14" s="66">
        <f>CQ2/21</f>
        <v>0</v>
      </c>
      <c r="CR14" s="66">
        <f>CR2/21</f>
        <v>0.19047619047619047</v>
      </c>
      <c r="CS14" s="66">
        <f>CS2/21</f>
        <v>0</v>
      </c>
      <c r="CU14" s="66">
        <f>AVERAGE(B14:CS14)</f>
        <v>0.12797619047619041</v>
      </c>
      <c r="CV14" s="69"/>
      <c r="CW14" s="67"/>
    </row>
    <row r="15" spans="1:101" ht="13" x14ac:dyDescent="0.25">
      <c r="A15" s="65" t="s">
        <v>298</v>
      </c>
      <c r="B15" s="66">
        <f>B3/20</f>
        <v>0.2</v>
      </c>
      <c r="C15" s="66">
        <f>C3/20</f>
        <v>0</v>
      </c>
      <c r="D15" s="66">
        <f>D3/20</f>
        <v>0.05</v>
      </c>
      <c r="E15" s="66">
        <f>E3/20</f>
        <v>0</v>
      </c>
      <c r="F15" s="66">
        <f>F3/20</f>
        <v>0.3</v>
      </c>
      <c r="G15" s="66">
        <f>G3/20</f>
        <v>0.3</v>
      </c>
      <c r="H15" s="66">
        <f>H3/20</f>
        <v>0</v>
      </c>
      <c r="I15" s="66">
        <f>I3/20</f>
        <v>0.1</v>
      </c>
      <c r="J15" s="66">
        <f>J3/20</f>
        <v>0.05</v>
      </c>
      <c r="K15" s="66">
        <f>K3/20</f>
        <v>0.25</v>
      </c>
      <c r="L15" s="66">
        <f>L3/20</f>
        <v>0</v>
      </c>
      <c r="M15" s="66">
        <f>M3/20</f>
        <v>0.1</v>
      </c>
      <c r="N15" s="66">
        <f>N3/20</f>
        <v>0.25</v>
      </c>
      <c r="O15" s="66">
        <f>O3/20</f>
        <v>0</v>
      </c>
      <c r="P15" s="66">
        <f>P3/20</f>
        <v>0.15</v>
      </c>
      <c r="Q15" s="66">
        <f>Q3/20</f>
        <v>0</v>
      </c>
      <c r="R15" s="66">
        <f>R3/20</f>
        <v>0.15</v>
      </c>
      <c r="S15" s="66">
        <f>S3/20</f>
        <v>0.05</v>
      </c>
      <c r="T15" s="66">
        <f>T3/20</f>
        <v>0.05</v>
      </c>
      <c r="U15" s="66">
        <f>U3/20</f>
        <v>0.15</v>
      </c>
      <c r="V15" s="66">
        <f>V3/20</f>
        <v>0.1</v>
      </c>
      <c r="W15" s="66">
        <f>W3/20</f>
        <v>0.1</v>
      </c>
      <c r="X15" s="66">
        <f>X3/20</f>
        <v>0.2</v>
      </c>
      <c r="Y15" s="66">
        <f>Y3/20</f>
        <v>0</v>
      </c>
      <c r="Z15" s="66">
        <f>Z3/20</f>
        <v>0.05</v>
      </c>
      <c r="AA15" s="66">
        <f>AA3/20</f>
        <v>0.1</v>
      </c>
      <c r="AB15" s="66">
        <f>AB3/20</f>
        <v>0</v>
      </c>
      <c r="AC15" s="66">
        <f>AC3/20</f>
        <v>0.15</v>
      </c>
      <c r="AD15" s="66">
        <f>AD3/20</f>
        <v>0.1</v>
      </c>
      <c r="AE15" s="66">
        <f>AE3/20</f>
        <v>0.05</v>
      </c>
      <c r="AF15" s="66">
        <f>AF3/20</f>
        <v>0</v>
      </c>
      <c r="AG15" s="66">
        <f>AG3/20</f>
        <v>0.05</v>
      </c>
      <c r="AH15" s="66">
        <f>AH3/20</f>
        <v>0.05</v>
      </c>
      <c r="AI15" s="66">
        <f>AI3/20</f>
        <v>0</v>
      </c>
      <c r="AJ15" s="66">
        <f>AJ3/20</f>
        <v>0.05</v>
      </c>
      <c r="AK15" s="66">
        <f>AK3/20</f>
        <v>0.1</v>
      </c>
      <c r="AL15" s="66">
        <f>AL3/20</f>
        <v>0</v>
      </c>
      <c r="AM15" s="66">
        <f>AM3/20</f>
        <v>0.3</v>
      </c>
      <c r="AN15" s="66">
        <f>AN3/20</f>
        <v>0.1</v>
      </c>
      <c r="AO15" s="66">
        <f>AO3/20</f>
        <v>0</v>
      </c>
      <c r="AP15" s="66">
        <f>AP3/20</f>
        <v>0.45</v>
      </c>
      <c r="AQ15" s="66">
        <f>AQ3/20</f>
        <v>0.15</v>
      </c>
      <c r="AR15" s="66">
        <f>AR3/20</f>
        <v>0.3</v>
      </c>
      <c r="AS15" s="66">
        <f>AS3/20</f>
        <v>0.15</v>
      </c>
      <c r="AT15" s="66">
        <f>AT3/20</f>
        <v>0.15</v>
      </c>
      <c r="AU15" s="66">
        <f>AU3/20</f>
        <v>0.05</v>
      </c>
      <c r="AV15" s="66">
        <f>AV3/20</f>
        <v>0</v>
      </c>
      <c r="AW15" s="66">
        <f>AW3/20</f>
        <v>0.1</v>
      </c>
      <c r="AX15" s="66">
        <f>AX3/20</f>
        <v>0.1</v>
      </c>
      <c r="AY15" s="66">
        <f>AY3/20</f>
        <v>0.5</v>
      </c>
      <c r="AZ15" s="66">
        <f>AZ3/20</f>
        <v>0.05</v>
      </c>
      <c r="BA15" s="66">
        <f>BA3/20</f>
        <v>0.1</v>
      </c>
      <c r="BB15" s="66">
        <f>BB3/20</f>
        <v>0.1</v>
      </c>
      <c r="BC15" s="66">
        <f>BC3/20</f>
        <v>0</v>
      </c>
      <c r="BD15" s="66">
        <f>BD3/20</f>
        <v>0.25</v>
      </c>
      <c r="BE15" s="66">
        <f>BE3/20</f>
        <v>0.15</v>
      </c>
      <c r="BF15" s="66">
        <f>BF3/20</f>
        <v>0</v>
      </c>
      <c r="BG15" s="66">
        <f>BG3/20</f>
        <v>0.05</v>
      </c>
      <c r="BH15" s="66">
        <f>BH3/20</f>
        <v>0</v>
      </c>
      <c r="BI15" s="66">
        <f>BI3/20</f>
        <v>0.2</v>
      </c>
      <c r="BJ15" s="66">
        <f>BJ3/20</f>
        <v>0</v>
      </c>
      <c r="BK15" s="66">
        <f>BK3/20</f>
        <v>0</v>
      </c>
      <c r="BL15" s="66">
        <f>BL3/20</f>
        <v>0</v>
      </c>
      <c r="BM15" s="66">
        <f>BM3/20</f>
        <v>0</v>
      </c>
      <c r="BN15" s="66">
        <f>BN3/20</f>
        <v>0.05</v>
      </c>
      <c r="BO15" s="66">
        <f>BO3/20</f>
        <v>0.1</v>
      </c>
      <c r="BP15" s="66">
        <f>BP3/20</f>
        <v>0.05</v>
      </c>
      <c r="BQ15" s="66">
        <f>BQ3/20</f>
        <v>0.05</v>
      </c>
      <c r="BR15" s="66">
        <f>BR3/20</f>
        <v>0.05</v>
      </c>
      <c r="BS15" s="66">
        <f>BS3/20</f>
        <v>0.05</v>
      </c>
      <c r="BT15" s="66">
        <f>BT3/20</f>
        <v>0</v>
      </c>
      <c r="BU15" s="66">
        <f>BU3/20</f>
        <v>0</v>
      </c>
      <c r="BV15" s="66">
        <f>BV3/20</f>
        <v>0.05</v>
      </c>
      <c r="BW15" s="66">
        <f>BW3/20</f>
        <v>0.05</v>
      </c>
      <c r="BX15" s="66">
        <f>BX3/20</f>
        <v>0.05</v>
      </c>
      <c r="BY15" s="66">
        <f>BY3/20</f>
        <v>0.05</v>
      </c>
      <c r="BZ15" s="66">
        <f>BZ3/20</f>
        <v>0</v>
      </c>
      <c r="CA15" s="66">
        <f>CA3/20</f>
        <v>0.1</v>
      </c>
      <c r="CB15" s="66">
        <f>CB3/20</f>
        <v>0</v>
      </c>
      <c r="CC15" s="66">
        <f>CC3/20</f>
        <v>0.1</v>
      </c>
      <c r="CD15" s="66">
        <f>CD3/20</f>
        <v>0</v>
      </c>
      <c r="CE15" s="66">
        <f>CE3/20</f>
        <v>0</v>
      </c>
      <c r="CF15" s="66">
        <f>CF3/20</f>
        <v>0.05</v>
      </c>
      <c r="CG15" s="66">
        <f>CG3/20</f>
        <v>0</v>
      </c>
      <c r="CH15" s="66">
        <f>CH3/20</f>
        <v>0</v>
      </c>
      <c r="CI15" s="66">
        <f>CI3/20</f>
        <v>0</v>
      </c>
      <c r="CJ15" s="66">
        <f>CJ3/20</f>
        <v>0.3</v>
      </c>
      <c r="CK15" s="66">
        <f>CK3/20</f>
        <v>0</v>
      </c>
      <c r="CL15" s="66">
        <f>CL3/20</f>
        <v>0.1</v>
      </c>
      <c r="CM15" s="66">
        <f>CM3/20</f>
        <v>0</v>
      </c>
      <c r="CN15" s="66">
        <f>CN3/20</f>
        <v>0</v>
      </c>
      <c r="CO15" s="66">
        <f>CO3/20</f>
        <v>0.25</v>
      </c>
      <c r="CP15" s="66">
        <f>CP3/20</f>
        <v>0.15</v>
      </c>
      <c r="CQ15" s="66">
        <f>CQ3/20</f>
        <v>0</v>
      </c>
      <c r="CR15" s="66">
        <f>CR3/20</f>
        <v>0.05</v>
      </c>
      <c r="CS15" s="66">
        <f>CS3/20</f>
        <v>0</v>
      </c>
      <c r="CU15" s="66">
        <f>AVERAGE(B15:CS15)</f>
        <v>8.4895833333333295E-2</v>
      </c>
      <c r="CV15" s="69"/>
      <c r="CW15" s="67"/>
    </row>
    <row r="16" spans="1:101" ht="13" x14ac:dyDescent="0.25">
      <c r="A16" s="65" t="s">
        <v>299</v>
      </c>
      <c r="B16" s="66">
        <f>B4/23</f>
        <v>4.3478260869565216E-2</v>
      </c>
      <c r="C16" s="66">
        <f>C4/23</f>
        <v>0</v>
      </c>
      <c r="D16" s="66">
        <f>D4/23</f>
        <v>8.6956521739130432E-2</v>
      </c>
      <c r="E16" s="66">
        <f>E4/23</f>
        <v>0</v>
      </c>
      <c r="F16" s="66">
        <f>F4/23</f>
        <v>0</v>
      </c>
      <c r="G16" s="66">
        <f>G4/23</f>
        <v>0</v>
      </c>
      <c r="H16" s="66">
        <f>H4/23</f>
        <v>0</v>
      </c>
      <c r="I16" s="66">
        <f>I4/23</f>
        <v>8.6956521739130432E-2</v>
      </c>
      <c r="J16" s="66">
        <f>J4/23</f>
        <v>8.6956521739130432E-2</v>
      </c>
      <c r="K16" s="66">
        <f>K4/23</f>
        <v>0.13043478260869565</v>
      </c>
      <c r="L16" s="66">
        <f>L4/23</f>
        <v>0</v>
      </c>
      <c r="M16" s="66">
        <f>M4/23</f>
        <v>8.6956521739130432E-2</v>
      </c>
      <c r="N16" s="66">
        <f>N4/23</f>
        <v>0.34782608695652173</v>
      </c>
      <c r="O16" s="66">
        <f>O4/23</f>
        <v>0</v>
      </c>
      <c r="P16" s="66">
        <f>P4/23</f>
        <v>8.6956521739130432E-2</v>
      </c>
      <c r="Q16" s="66">
        <f>Q4/23</f>
        <v>0</v>
      </c>
      <c r="R16" s="66">
        <f>R4/23</f>
        <v>0.30434782608695654</v>
      </c>
      <c r="S16" s="66">
        <f>S4/23</f>
        <v>0.13043478260869565</v>
      </c>
      <c r="T16" s="66">
        <f>T4/23</f>
        <v>0.17391304347826086</v>
      </c>
      <c r="U16" s="66">
        <f>U4/23</f>
        <v>4.3478260869565216E-2</v>
      </c>
      <c r="V16" s="66">
        <f>V4/23</f>
        <v>0.30434782608695654</v>
      </c>
      <c r="W16" s="66">
        <f>W4/23</f>
        <v>0.43478260869565216</v>
      </c>
      <c r="X16" s="66">
        <f>X4/23</f>
        <v>0</v>
      </c>
      <c r="Y16" s="66">
        <f>Y4/23</f>
        <v>4.3478260869565216E-2</v>
      </c>
      <c r="Z16" s="66">
        <f>Z4/23</f>
        <v>0.17391304347826086</v>
      </c>
      <c r="AA16" s="66">
        <f>AA4/23</f>
        <v>8.6956521739130432E-2</v>
      </c>
      <c r="AB16" s="66">
        <f>AB4/23</f>
        <v>0</v>
      </c>
      <c r="AC16" s="66">
        <f>AC4/23</f>
        <v>0.17391304347826086</v>
      </c>
      <c r="AD16" s="66">
        <f>AD4/23</f>
        <v>8.6956521739130432E-2</v>
      </c>
      <c r="AE16" s="66">
        <f>AE4/23</f>
        <v>4.3478260869565216E-2</v>
      </c>
      <c r="AF16" s="66">
        <f>AF4/23</f>
        <v>0</v>
      </c>
      <c r="AG16" s="66">
        <f>AG4/23</f>
        <v>0</v>
      </c>
      <c r="AH16" s="66">
        <f>AH4/23</f>
        <v>0</v>
      </c>
      <c r="AI16" s="66">
        <f>AI4/23</f>
        <v>0</v>
      </c>
      <c r="AJ16" s="66">
        <f>AJ4/23</f>
        <v>0.17391304347826086</v>
      </c>
      <c r="AK16" s="66">
        <f>AK4/23</f>
        <v>8.6956521739130432E-2</v>
      </c>
      <c r="AL16" s="66">
        <f>AL4/23</f>
        <v>0.17391304347826086</v>
      </c>
      <c r="AM16" s="66">
        <f>AM4/23</f>
        <v>0.69565217391304346</v>
      </c>
      <c r="AN16" s="66">
        <f>AN4/23</f>
        <v>0.21739130434782608</v>
      </c>
      <c r="AO16" s="66">
        <f>AO4/23</f>
        <v>0</v>
      </c>
      <c r="AP16" s="66">
        <f>AP4/23</f>
        <v>0.82608695652173914</v>
      </c>
      <c r="AQ16" s="66">
        <f>AQ4/23</f>
        <v>8.6956521739130432E-2</v>
      </c>
      <c r="AR16" s="66">
        <f>AR4/23</f>
        <v>0.30434782608695654</v>
      </c>
      <c r="AS16" s="66">
        <f>AS4/23</f>
        <v>8.6956521739130432E-2</v>
      </c>
      <c r="AT16" s="66">
        <f>AT4/23</f>
        <v>8.6956521739130432E-2</v>
      </c>
      <c r="AU16" s="66">
        <f>AU4/23</f>
        <v>0</v>
      </c>
      <c r="AV16" s="66">
        <f>AV4/23</f>
        <v>0</v>
      </c>
      <c r="AW16" s="66">
        <f>AW4/23</f>
        <v>0</v>
      </c>
      <c r="AX16" s="66">
        <f>AX4/23</f>
        <v>0</v>
      </c>
      <c r="AY16" s="66">
        <f>AY4/23</f>
        <v>4.3478260869565216E-2</v>
      </c>
      <c r="AZ16" s="66">
        <f>AZ4/23</f>
        <v>0.17391304347826086</v>
      </c>
      <c r="BA16" s="66">
        <f>BA4/23</f>
        <v>0.43478260869565216</v>
      </c>
      <c r="BB16" s="66">
        <f>BB4/23</f>
        <v>0.17391304347826086</v>
      </c>
      <c r="BC16" s="66">
        <f>BC4/23</f>
        <v>0</v>
      </c>
      <c r="BD16" s="66">
        <f>BD4/23</f>
        <v>0.34782608695652173</v>
      </c>
      <c r="BE16" s="66">
        <f>BE4/23</f>
        <v>0.13043478260869565</v>
      </c>
      <c r="BF16" s="66">
        <f>BF4/23</f>
        <v>0</v>
      </c>
      <c r="BG16" s="66">
        <f>BG4/23</f>
        <v>8.6956521739130432E-2</v>
      </c>
      <c r="BH16" s="66">
        <f>BH4/23</f>
        <v>0.13043478260869565</v>
      </c>
      <c r="BI16" s="66">
        <f>BI4/23</f>
        <v>8.6956521739130432E-2</v>
      </c>
      <c r="BJ16" s="66">
        <f>BJ4/23</f>
        <v>0.39130434782608697</v>
      </c>
      <c r="BK16" s="66">
        <f>BK4/23</f>
        <v>0</v>
      </c>
      <c r="BL16" s="66">
        <f>BL4/23</f>
        <v>0.2608695652173913</v>
      </c>
      <c r="BM16" s="66">
        <f>BM4/23</f>
        <v>0</v>
      </c>
      <c r="BN16" s="66">
        <f>BN4/23</f>
        <v>0.17391304347826086</v>
      </c>
      <c r="BO16" s="66">
        <f>BO4/23</f>
        <v>8.6956521739130432E-2</v>
      </c>
      <c r="BP16" s="66">
        <f>BP4/23</f>
        <v>4.3478260869565216E-2</v>
      </c>
      <c r="BQ16" s="66">
        <f>BQ4/23</f>
        <v>8.6956521739130432E-2</v>
      </c>
      <c r="BR16" s="66">
        <f>BR4/23</f>
        <v>8.6956521739130432E-2</v>
      </c>
      <c r="BS16" s="66">
        <f>BS4/23</f>
        <v>8.6956521739130432E-2</v>
      </c>
      <c r="BT16" s="66">
        <f>BT4/23</f>
        <v>0</v>
      </c>
      <c r="BU16" s="66">
        <f>BU4/23</f>
        <v>0</v>
      </c>
      <c r="BV16" s="66">
        <f>BV4/23</f>
        <v>8.6956521739130432E-2</v>
      </c>
      <c r="BW16" s="66">
        <f>BW4/23</f>
        <v>8.6956521739130432E-2</v>
      </c>
      <c r="BX16" s="66">
        <f>BX4/23</f>
        <v>0.17391304347826086</v>
      </c>
      <c r="BY16" s="66">
        <f>BY4/23</f>
        <v>4.3478260869565216E-2</v>
      </c>
      <c r="BZ16" s="66">
        <f>BZ4/23</f>
        <v>0</v>
      </c>
      <c r="CA16" s="66">
        <f>CA4/23</f>
        <v>8.6956521739130432E-2</v>
      </c>
      <c r="CB16" s="66">
        <f>CB4/23</f>
        <v>0</v>
      </c>
      <c r="CC16" s="66">
        <f>CC4/23</f>
        <v>0.13043478260869565</v>
      </c>
      <c r="CD16" s="66">
        <f>CD4/23</f>
        <v>8.6956521739130432E-2</v>
      </c>
      <c r="CE16" s="66">
        <f>CE4/23</f>
        <v>8.6956521739130432E-2</v>
      </c>
      <c r="CF16" s="66">
        <f>CF4/23</f>
        <v>8.6956521739130432E-2</v>
      </c>
      <c r="CG16" s="66">
        <f>CG4/23</f>
        <v>0</v>
      </c>
      <c r="CH16" s="66">
        <f>CH4/23</f>
        <v>0</v>
      </c>
      <c r="CI16" s="66">
        <f>CI4/23</f>
        <v>0</v>
      </c>
      <c r="CJ16" s="66">
        <f>CJ4/23</f>
        <v>0.17391304347826086</v>
      </c>
      <c r="CK16" s="66">
        <f>CK4/23</f>
        <v>0</v>
      </c>
      <c r="CL16" s="66">
        <f>CL4/23</f>
        <v>8.6956521739130432E-2</v>
      </c>
      <c r="CM16" s="66">
        <f>CM4/23</f>
        <v>0</v>
      </c>
      <c r="CN16" s="66">
        <f>CN4/23</f>
        <v>0</v>
      </c>
      <c r="CO16" s="66">
        <f>CO4/23</f>
        <v>0.43478260869565216</v>
      </c>
      <c r="CP16" s="66">
        <f>CP4/23</f>
        <v>4.3478260869565216E-2</v>
      </c>
      <c r="CQ16" s="66">
        <f>CQ4/23</f>
        <v>0</v>
      </c>
      <c r="CR16" s="66">
        <f>CR4/23</f>
        <v>4.3478260869565216E-2</v>
      </c>
      <c r="CS16" s="66">
        <f>CS4/23</f>
        <v>0</v>
      </c>
      <c r="CU16" s="66">
        <f>AVERAGE(B16:CS16)</f>
        <v>0.10597826086956526</v>
      </c>
      <c r="CV16" s="69"/>
      <c r="CW16" s="67"/>
    </row>
    <row r="17" spans="1:101" ht="13" x14ac:dyDescent="0.25">
      <c r="A17" s="65" t="s">
        <v>300</v>
      </c>
      <c r="B17" s="66">
        <f>B5/21</f>
        <v>0</v>
      </c>
      <c r="C17" s="66">
        <f>C5/21</f>
        <v>0.14285714285714285</v>
      </c>
      <c r="D17" s="66">
        <f>D5/21</f>
        <v>0</v>
      </c>
      <c r="E17" s="66">
        <f>E5/21</f>
        <v>0</v>
      </c>
      <c r="F17" s="66">
        <f>F5/21</f>
        <v>4.7619047619047616E-2</v>
      </c>
      <c r="G17" s="66">
        <f>G5/21</f>
        <v>4.7619047619047616E-2</v>
      </c>
      <c r="H17" s="66">
        <f>H5/21</f>
        <v>0</v>
      </c>
      <c r="I17" s="66">
        <f>I5/21</f>
        <v>4.7619047619047616E-2</v>
      </c>
      <c r="J17" s="66">
        <f>J5/21</f>
        <v>0.14285714285714285</v>
      </c>
      <c r="K17" s="66">
        <f>K5/21</f>
        <v>9.5238095238095233E-2</v>
      </c>
      <c r="L17" s="66">
        <f>L5/21</f>
        <v>9.5238095238095233E-2</v>
      </c>
      <c r="M17" s="66">
        <f>M5/21</f>
        <v>0.14285714285714285</v>
      </c>
      <c r="N17" s="66">
        <f>N5/21</f>
        <v>0.2857142857142857</v>
      </c>
      <c r="O17" s="66">
        <f>O5/21</f>
        <v>9.5238095238095233E-2</v>
      </c>
      <c r="P17" s="66">
        <f>P5/21</f>
        <v>4.7619047619047616E-2</v>
      </c>
      <c r="Q17" s="66">
        <f>Q5/21</f>
        <v>0</v>
      </c>
      <c r="R17" s="66">
        <f>R5/21</f>
        <v>0.14285714285714285</v>
      </c>
      <c r="S17" s="66">
        <f>S5/21</f>
        <v>0.52380952380952384</v>
      </c>
      <c r="T17" s="66">
        <f>T5/21</f>
        <v>0.23809523809523808</v>
      </c>
      <c r="U17" s="66">
        <f>U5/21</f>
        <v>4.7619047619047616E-2</v>
      </c>
      <c r="V17" s="66">
        <f>V5/21</f>
        <v>4.7619047619047616E-2</v>
      </c>
      <c r="W17" s="66">
        <f>W5/21</f>
        <v>0.2857142857142857</v>
      </c>
      <c r="X17" s="66">
        <f>X5/21</f>
        <v>0</v>
      </c>
      <c r="Y17" s="66">
        <f>Y5/21</f>
        <v>0</v>
      </c>
      <c r="Z17" s="66">
        <f>Z5/21</f>
        <v>9.5238095238095233E-2</v>
      </c>
      <c r="AA17" s="66">
        <f>AA5/21</f>
        <v>0.14285714285714285</v>
      </c>
      <c r="AB17" s="66">
        <f>AB5/21</f>
        <v>9.5238095238095233E-2</v>
      </c>
      <c r="AC17" s="66">
        <f>AC5/21</f>
        <v>0</v>
      </c>
      <c r="AD17" s="66">
        <f>AD5/21</f>
        <v>0.14285714285714285</v>
      </c>
      <c r="AE17" s="66">
        <f>AE5/21</f>
        <v>4.7619047619047616E-2</v>
      </c>
      <c r="AF17" s="66">
        <f>AF5/21</f>
        <v>0</v>
      </c>
      <c r="AG17" s="66">
        <f>AG5/21</f>
        <v>0</v>
      </c>
      <c r="AH17" s="66">
        <f>AH5/21</f>
        <v>0</v>
      </c>
      <c r="AI17" s="66">
        <f>AI5/21</f>
        <v>0</v>
      </c>
      <c r="AJ17" s="66">
        <f>AJ5/21</f>
        <v>0.19047619047619047</v>
      </c>
      <c r="AK17" s="66">
        <f>AK5/21</f>
        <v>4.7619047619047616E-2</v>
      </c>
      <c r="AL17" s="66">
        <f>AL5/21</f>
        <v>9.5238095238095233E-2</v>
      </c>
      <c r="AM17" s="66">
        <f>AM5/21</f>
        <v>0.76190476190476186</v>
      </c>
      <c r="AN17" s="66">
        <f>AN5/21</f>
        <v>0.19047619047619047</v>
      </c>
      <c r="AO17" s="66">
        <f>AO5/21</f>
        <v>0.14285714285714285</v>
      </c>
      <c r="AP17" s="66">
        <f>AP5/21</f>
        <v>0.76190476190476186</v>
      </c>
      <c r="AQ17" s="66">
        <f>AQ5/21</f>
        <v>0</v>
      </c>
      <c r="AR17" s="66">
        <f>AR5/21</f>
        <v>0.14285714285714285</v>
      </c>
      <c r="AS17" s="66">
        <f>AS5/21</f>
        <v>0</v>
      </c>
      <c r="AT17" s="66">
        <f>AT5/21</f>
        <v>4.7619047619047616E-2</v>
      </c>
      <c r="AU17" s="66">
        <f>AU5/21</f>
        <v>0</v>
      </c>
      <c r="AV17" s="66">
        <f>AV5/21</f>
        <v>0</v>
      </c>
      <c r="AW17" s="66">
        <f>AW5/21</f>
        <v>4.7619047619047616E-2</v>
      </c>
      <c r="AX17" s="66">
        <f>AX5/21</f>
        <v>4.7619047619047616E-2</v>
      </c>
      <c r="AY17" s="66">
        <f>AY5/21</f>
        <v>9.5238095238095233E-2</v>
      </c>
      <c r="AZ17" s="66">
        <f>AZ5/21</f>
        <v>4.7619047619047616E-2</v>
      </c>
      <c r="BA17" s="66">
        <f>BA5/21</f>
        <v>0.5714285714285714</v>
      </c>
      <c r="BB17" s="66">
        <f>BB5/21</f>
        <v>4.7619047619047616E-2</v>
      </c>
      <c r="BC17" s="66">
        <f>BC5/21</f>
        <v>0</v>
      </c>
      <c r="BD17" s="66">
        <f>BD5/21</f>
        <v>0.14285714285714285</v>
      </c>
      <c r="BE17" s="66">
        <f>BE5/21</f>
        <v>0.23809523809523808</v>
      </c>
      <c r="BF17" s="66">
        <f>BF5/21</f>
        <v>0</v>
      </c>
      <c r="BG17" s="66">
        <f>BG5/21</f>
        <v>4.7619047619047616E-2</v>
      </c>
      <c r="BH17" s="66">
        <f>BH5/21</f>
        <v>9.5238095238095233E-2</v>
      </c>
      <c r="BI17" s="66">
        <f>BI5/21</f>
        <v>0.19047619047619047</v>
      </c>
      <c r="BJ17" s="66">
        <f>BJ5/21</f>
        <v>4.7619047619047616E-2</v>
      </c>
      <c r="BK17" s="66">
        <f>BK5/21</f>
        <v>0</v>
      </c>
      <c r="BL17" s="66">
        <f>BL5/21</f>
        <v>0.19047619047619047</v>
      </c>
      <c r="BM17" s="66">
        <f>BM5/21</f>
        <v>0</v>
      </c>
      <c r="BN17" s="66">
        <f>BN5/21</f>
        <v>0</v>
      </c>
      <c r="BO17" s="66">
        <f>BO5/21</f>
        <v>0</v>
      </c>
      <c r="BP17" s="66">
        <f>BP5/21</f>
        <v>9.5238095238095233E-2</v>
      </c>
      <c r="BQ17" s="66">
        <f>BQ5/21</f>
        <v>9.5238095238095233E-2</v>
      </c>
      <c r="BR17" s="66">
        <f>BR5/21</f>
        <v>9.5238095238095233E-2</v>
      </c>
      <c r="BS17" s="66">
        <f>BS5/21</f>
        <v>9.5238095238095233E-2</v>
      </c>
      <c r="BT17" s="66">
        <f>BT5/21</f>
        <v>0</v>
      </c>
      <c r="BU17" s="66">
        <f>BU5/21</f>
        <v>4.7619047619047616E-2</v>
      </c>
      <c r="BV17" s="66">
        <f>BV5/21</f>
        <v>0</v>
      </c>
      <c r="BW17" s="66">
        <f>BW5/21</f>
        <v>0</v>
      </c>
      <c r="BX17" s="66">
        <f>BX5/21</f>
        <v>0.23809523809523808</v>
      </c>
      <c r="BY17" s="66">
        <f>BY5/21</f>
        <v>0</v>
      </c>
      <c r="BZ17" s="66">
        <f>BZ5/21</f>
        <v>0</v>
      </c>
      <c r="CA17" s="66">
        <f>CA5/21</f>
        <v>0</v>
      </c>
      <c r="CB17" s="66">
        <f>CB5/21</f>
        <v>0</v>
      </c>
      <c r="CC17" s="66">
        <f>CC5/21</f>
        <v>0.14285714285714285</v>
      </c>
      <c r="CD17" s="66">
        <f>CD5/21</f>
        <v>4.7619047619047616E-2</v>
      </c>
      <c r="CE17" s="66">
        <f>CE5/21</f>
        <v>0.14285714285714285</v>
      </c>
      <c r="CF17" s="66">
        <f>CF5/21</f>
        <v>4.7619047619047616E-2</v>
      </c>
      <c r="CG17" s="66">
        <f>CG5/21</f>
        <v>0</v>
      </c>
      <c r="CH17" s="66">
        <f>CH5/21</f>
        <v>0</v>
      </c>
      <c r="CI17" s="66">
        <f>CI5/21</f>
        <v>0</v>
      </c>
      <c r="CJ17" s="66">
        <f>CJ5/21</f>
        <v>0</v>
      </c>
      <c r="CK17" s="66">
        <f>CK5/21</f>
        <v>0</v>
      </c>
      <c r="CL17" s="66">
        <f>CL5/21</f>
        <v>9.5238095238095233E-2</v>
      </c>
      <c r="CM17" s="66">
        <f>CM5/21</f>
        <v>0</v>
      </c>
      <c r="CN17" s="66">
        <f>CN5/21</f>
        <v>0</v>
      </c>
      <c r="CO17" s="66">
        <f>CO5/21</f>
        <v>0.2857142857142857</v>
      </c>
      <c r="CP17" s="66">
        <f>CP5/21</f>
        <v>9.5238095238095233E-2</v>
      </c>
      <c r="CQ17" s="66">
        <f>CQ5/21</f>
        <v>0</v>
      </c>
      <c r="CR17" s="66">
        <f>CR5/21</f>
        <v>0.19047619047619047</v>
      </c>
      <c r="CS17" s="66">
        <f>CS5/21</f>
        <v>4.7619047619047616E-2</v>
      </c>
      <c r="CU17" s="66">
        <f>AVERAGE(B17:CS17)</f>
        <v>9.3253968253968214E-2</v>
      </c>
      <c r="CV17" s="69"/>
      <c r="CW17" s="67"/>
    </row>
    <row r="18" spans="1:101" ht="13" x14ac:dyDescent="0.25">
      <c r="A18" s="65" t="s">
        <v>301</v>
      </c>
      <c r="B18" s="66">
        <f>B6/22</f>
        <v>0</v>
      </c>
      <c r="C18" s="66">
        <f>C6/22</f>
        <v>4.5454545454545456E-2</v>
      </c>
      <c r="D18" s="66">
        <f>D6/22</f>
        <v>0.31818181818181818</v>
      </c>
      <c r="E18" s="66">
        <f>E6/22</f>
        <v>0</v>
      </c>
      <c r="F18" s="66">
        <f>F6/22</f>
        <v>0</v>
      </c>
      <c r="G18" s="66">
        <f>G6/22</f>
        <v>0</v>
      </c>
      <c r="H18" s="66">
        <f>H6/22</f>
        <v>0</v>
      </c>
      <c r="I18" s="66">
        <f>I6/22</f>
        <v>0.18181818181818182</v>
      </c>
      <c r="J18" s="66">
        <f>J6/22</f>
        <v>0.18181818181818182</v>
      </c>
      <c r="K18" s="66">
        <f>K6/22</f>
        <v>0.13636363636363635</v>
      </c>
      <c r="L18" s="66">
        <f>L6/22</f>
        <v>0</v>
      </c>
      <c r="M18" s="66">
        <f>M6/22</f>
        <v>0.27272727272727271</v>
      </c>
      <c r="N18" s="66">
        <f>N6/22</f>
        <v>0.40909090909090912</v>
      </c>
      <c r="O18" s="66">
        <f>O6/22</f>
        <v>4.5454545454545456E-2</v>
      </c>
      <c r="P18" s="66">
        <f>P6/22</f>
        <v>0.18181818181818182</v>
      </c>
      <c r="Q18" s="66">
        <f>Q6/22</f>
        <v>0</v>
      </c>
      <c r="R18" s="66">
        <f>R6/22</f>
        <v>0.13636363636363635</v>
      </c>
      <c r="S18" s="66">
        <f>S6/22</f>
        <v>0.54545454545454541</v>
      </c>
      <c r="T18" s="66">
        <f>T6/22</f>
        <v>0</v>
      </c>
      <c r="U18" s="66">
        <f>U6/22</f>
        <v>0</v>
      </c>
      <c r="V18" s="66">
        <f>V6/22</f>
        <v>9.0909090909090912E-2</v>
      </c>
      <c r="W18" s="66">
        <f>W6/22</f>
        <v>9.0909090909090912E-2</v>
      </c>
      <c r="X18" s="66">
        <f>X6/22</f>
        <v>9.0909090909090912E-2</v>
      </c>
      <c r="Y18" s="66">
        <f>Y6/22</f>
        <v>0</v>
      </c>
      <c r="Z18" s="66">
        <f>Z6/22</f>
        <v>0.18181818181818182</v>
      </c>
      <c r="AA18" s="66">
        <f>AA6/22</f>
        <v>4.5454545454545456E-2</v>
      </c>
      <c r="AB18" s="66">
        <f>AB6/22</f>
        <v>0</v>
      </c>
      <c r="AC18" s="66">
        <f>AC6/22</f>
        <v>0</v>
      </c>
      <c r="AD18" s="66">
        <f>AD6/22</f>
        <v>4.5454545454545456E-2</v>
      </c>
      <c r="AE18" s="66">
        <f>AE6/22</f>
        <v>0</v>
      </c>
      <c r="AF18" s="66">
        <f>AF6/22</f>
        <v>0</v>
      </c>
      <c r="AG18" s="66">
        <f>AG6/22</f>
        <v>4.5454545454545456E-2</v>
      </c>
      <c r="AH18" s="66">
        <f>AH6/22</f>
        <v>4.5454545454545456E-2</v>
      </c>
      <c r="AI18" s="66">
        <f>AI6/22</f>
        <v>0</v>
      </c>
      <c r="AJ18" s="66">
        <f>AJ6/22</f>
        <v>4.5454545454545456E-2</v>
      </c>
      <c r="AK18" s="66">
        <f>AK6/22</f>
        <v>0.18181818181818182</v>
      </c>
      <c r="AL18" s="66">
        <f>AL6/22</f>
        <v>9.0909090909090912E-2</v>
      </c>
      <c r="AM18" s="66">
        <f>AM6/22</f>
        <v>0.40909090909090912</v>
      </c>
      <c r="AN18" s="66">
        <f>AN6/22</f>
        <v>0.13636363636363635</v>
      </c>
      <c r="AO18" s="66">
        <f>AO6/22</f>
        <v>0</v>
      </c>
      <c r="AP18" s="66">
        <f>AP6/22</f>
        <v>9.0909090909090912E-2</v>
      </c>
      <c r="AQ18" s="66">
        <f>AQ6/22</f>
        <v>0</v>
      </c>
      <c r="AR18" s="66">
        <f>AR6/22</f>
        <v>9.0909090909090912E-2</v>
      </c>
      <c r="AS18" s="66">
        <f>AS6/22</f>
        <v>0.18181818181818182</v>
      </c>
      <c r="AT18" s="66">
        <f>AT6/22</f>
        <v>0</v>
      </c>
      <c r="AU18" s="66">
        <f>AU6/22</f>
        <v>4.5454545454545456E-2</v>
      </c>
      <c r="AV18" s="66">
        <f>AV6/22</f>
        <v>0</v>
      </c>
      <c r="AW18" s="66">
        <f>AW6/22</f>
        <v>4.5454545454545456E-2</v>
      </c>
      <c r="AX18" s="66">
        <f>AX6/22</f>
        <v>4.5454545454545456E-2</v>
      </c>
      <c r="AY18" s="66">
        <f>AY6/22</f>
        <v>4.5454545454545456E-2</v>
      </c>
      <c r="AZ18" s="66">
        <f>AZ6/22</f>
        <v>0</v>
      </c>
      <c r="BA18" s="66">
        <f>BA6/22</f>
        <v>0.45454545454545453</v>
      </c>
      <c r="BB18" s="66">
        <f>BB6/22</f>
        <v>0.13636363636363635</v>
      </c>
      <c r="BC18" s="66">
        <f>BC6/22</f>
        <v>0</v>
      </c>
      <c r="BD18" s="66">
        <f>BD6/22</f>
        <v>0</v>
      </c>
      <c r="BE18" s="66">
        <f>BE6/22</f>
        <v>0.13636363636363635</v>
      </c>
      <c r="BF18" s="66">
        <f>BF6/22</f>
        <v>0</v>
      </c>
      <c r="BG18" s="66">
        <f>BG6/22</f>
        <v>4.5454545454545456E-2</v>
      </c>
      <c r="BH18" s="66">
        <f>BH6/22</f>
        <v>4.5454545454545456E-2</v>
      </c>
      <c r="BI18" s="66">
        <f>BI6/22</f>
        <v>9.0909090909090912E-2</v>
      </c>
      <c r="BJ18" s="66">
        <f>BJ6/22</f>
        <v>0.13636363636363635</v>
      </c>
      <c r="BK18" s="66">
        <f>BK6/22</f>
        <v>0</v>
      </c>
      <c r="BL18" s="66">
        <f>BL6/22</f>
        <v>4.5454545454545456E-2</v>
      </c>
      <c r="BM18" s="66">
        <f>BM6/22</f>
        <v>0</v>
      </c>
      <c r="BN18" s="66">
        <f>BN6/22</f>
        <v>9.0909090909090912E-2</v>
      </c>
      <c r="BO18" s="66">
        <f>BO6/22</f>
        <v>0.18181818181818182</v>
      </c>
      <c r="BP18" s="66">
        <f>BP6/22</f>
        <v>4.5454545454545456E-2</v>
      </c>
      <c r="BQ18" s="66">
        <f>BQ6/22</f>
        <v>0.13636363636363635</v>
      </c>
      <c r="BR18" s="66">
        <f>BR6/22</f>
        <v>0.13636363636363635</v>
      </c>
      <c r="BS18" s="66">
        <f>BS6/22</f>
        <v>0.13636363636363635</v>
      </c>
      <c r="BT18" s="66">
        <f>BT6/22</f>
        <v>4.5454545454545456E-2</v>
      </c>
      <c r="BU18" s="66">
        <f>BU6/22</f>
        <v>0</v>
      </c>
      <c r="BV18" s="66">
        <f>BV6/22</f>
        <v>0</v>
      </c>
      <c r="BW18" s="66">
        <f>BW6/22</f>
        <v>0</v>
      </c>
      <c r="BX18" s="66">
        <f>BX6/22</f>
        <v>0.13636363636363635</v>
      </c>
      <c r="BY18" s="66">
        <f>BY6/22</f>
        <v>0</v>
      </c>
      <c r="BZ18" s="66">
        <f>BZ6/22</f>
        <v>0</v>
      </c>
      <c r="CA18" s="66">
        <f>CA6/22</f>
        <v>0</v>
      </c>
      <c r="CB18" s="66">
        <f>CB6/22</f>
        <v>0</v>
      </c>
      <c r="CC18" s="66">
        <f>CC6/22</f>
        <v>4.5454545454545456E-2</v>
      </c>
      <c r="CD18" s="66">
        <f>CD6/22</f>
        <v>0</v>
      </c>
      <c r="CE18" s="66">
        <f>CE6/22</f>
        <v>4.5454545454545456E-2</v>
      </c>
      <c r="CF18" s="66">
        <f>CF6/22</f>
        <v>0</v>
      </c>
      <c r="CG18" s="66">
        <f>CG6/22</f>
        <v>0</v>
      </c>
      <c r="CH18" s="66">
        <f>CH6/22</f>
        <v>0</v>
      </c>
      <c r="CI18" s="66">
        <f>CI6/22</f>
        <v>0</v>
      </c>
      <c r="CJ18" s="66">
        <f>CJ6/22</f>
        <v>0</v>
      </c>
      <c r="CK18" s="66">
        <f>CK6/22</f>
        <v>0</v>
      </c>
      <c r="CL18" s="66">
        <f>CL6/22</f>
        <v>4.5454545454545456E-2</v>
      </c>
      <c r="CM18" s="66">
        <f>CM6/22</f>
        <v>0.18181818181818182</v>
      </c>
      <c r="CN18" s="66">
        <f>CN6/22</f>
        <v>0</v>
      </c>
      <c r="CO18" s="66">
        <f>CO6/22</f>
        <v>0.13636363636363635</v>
      </c>
      <c r="CP18" s="66">
        <f>CP6/22</f>
        <v>0</v>
      </c>
      <c r="CQ18" s="66">
        <f>CQ6/22</f>
        <v>0</v>
      </c>
      <c r="CR18" s="66">
        <f>CR6/22</f>
        <v>0</v>
      </c>
      <c r="CS18" s="66">
        <f>CS6/22</f>
        <v>4.5454545454545456E-2</v>
      </c>
      <c r="CU18" s="66">
        <f>AVERAGE(B18:CS18)</f>
        <v>7.2916666666666727E-2</v>
      </c>
      <c r="CV18" s="69"/>
      <c r="CW18" s="67"/>
    </row>
    <row r="19" spans="1:101" ht="13" x14ac:dyDescent="0.25">
      <c r="A19" s="65" t="s">
        <v>302</v>
      </c>
      <c r="B19" s="66">
        <f>B7/22</f>
        <v>4.5454545454545456E-2</v>
      </c>
      <c r="C19" s="66">
        <f>C7/22</f>
        <v>0</v>
      </c>
      <c r="D19" s="66">
        <f>D7/22</f>
        <v>9.0909090909090912E-2</v>
      </c>
      <c r="E19" s="66">
        <f>E7/22</f>
        <v>0</v>
      </c>
      <c r="F19" s="66">
        <f>F7/22</f>
        <v>0.18181818181818182</v>
      </c>
      <c r="G19" s="66">
        <f>G7/22</f>
        <v>0.18181818181818182</v>
      </c>
      <c r="H19" s="66">
        <f>H7/22</f>
        <v>0</v>
      </c>
      <c r="I19" s="66">
        <f>I7/22</f>
        <v>4.5454545454545456E-2</v>
      </c>
      <c r="J19" s="66">
        <f>J7/22</f>
        <v>9.0909090909090912E-2</v>
      </c>
      <c r="K19" s="66">
        <f>K7/22</f>
        <v>9.0909090909090912E-2</v>
      </c>
      <c r="L19" s="66">
        <f>L7/22</f>
        <v>0.45454545454545453</v>
      </c>
      <c r="M19" s="66">
        <f>M7/22</f>
        <v>0.13636363636363635</v>
      </c>
      <c r="N19" s="66">
        <f>N7/22</f>
        <v>0.31818181818181818</v>
      </c>
      <c r="O19" s="66">
        <f>O7/22</f>
        <v>0.13636363636363635</v>
      </c>
      <c r="P19" s="66">
        <f>P7/22</f>
        <v>0</v>
      </c>
      <c r="Q19" s="66">
        <f>Q7/22</f>
        <v>0</v>
      </c>
      <c r="R19" s="66">
        <f>R7/22</f>
        <v>9.0909090909090912E-2</v>
      </c>
      <c r="S19" s="66">
        <f>S7/22</f>
        <v>0</v>
      </c>
      <c r="T19" s="66">
        <f>T7/22</f>
        <v>9.0909090909090912E-2</v>
      </c>
      <c r="U19" s="66">
        <f>U7/22</f>
        <v>0.13636363636363635</v>
      </c>
      <c r="V19" s="66">
        <f>V7/22</f>
        <v>0.27272727272727271</v>
      </c>
      <c r="W19" s="66">
        <f>W7/22</f>
        <v>4.5454545454545456E-2</v>
      </c>
      <c r="X19" s="66">
        <f>X7/22</f>
        <v>0</v>
      </c>
      <c r="Y19" s="66">
        <f>Y7/22</f>
        <v>0</v>
      </c>
      <c r="Z19" s="66">
        <f>Z7/22</f>
        <v>0</v>
      </c>
      <c r="AA19" s="66">
        <f>AA7/22</f>
        <v>4.5454545454545456E-2</v>
      </c>
      <c r="AB19" s="66">
        <f>AB7/22</f>
        <v>4.5454545454545456E-2</v>
      </c>
      <c r="AC19" s="66">
        <f>AC7/22</f>
        <v>0.18181818181818182</v>
      </c>
      <c r="AD19" s="66">
        <f>AD7/22</f>
        <v>4.5454545454545456E-2</v>
      </c>
      <c r="AE19" s="66">
        <f>AE7/22</f>
        <v>9.0909090909090912E-2</v>
      </c>
      <c r="AF19" s="66">
        <f>AF7/22</f>
        <v>0</v>
      </c>
      <c r="AG19" s="66">
        <f>AG7/22</f>
        <v>0</v>
      </c>
      <c r="AH19" s="66">
        <f>AH7/22</f>
        <v>0</v>
      </c>
      <c r="AI19" s="66">
        <f>AI7/22</f>
        <v>0</v>
      </c>
      <c r="AJ19" s="66">
        <f>AJ7/22</f>
        <v>9.0909090909090912E-2</v>
      </c>
      <c r="AK19" s="66">
        <f>AK7/22</f>
        <v>0.13636363636363635</v>
      </c>
      <c r="AL19" s="66">
        <f>AL7/22</f>
        <v>0</v>
      </c>
      <c r="AM19" s="66">
        <f>AM7/22</f>
        <v>0.40909090909090912</v>
      </c>
      <c r="AN19" s="66">
        <f>AN7/22</f>
        <v>0</v>
      </c>
      <c r="AO19" s="66">
        <f>AO7/22</f>
        <v>0</v>
      </c>
      <c r="AP19" s="66">
        <f>AP7/22</f>
        <v>4.5454545454545456E-2</v>
      </c>
      <c r="AQ19" s="66">
        <f>AQ7/22</f>
        <v>0</v>
      </c>
      <c r="AR19" s="66">
        <f>AR7/22</f>
        <v>4.5454545454545456E-2</v>
      </c>
      <c r="AS19" s="66">
        <f>AS7/22</f>
        <v>4.5454545454545456E-2</v>
      </c>
      <c r="AT19" s="66">
        <f>AT7/22</f>
        <v>0</v>
      </c>
      <c r="AU19" s="66">
        <f>AU7/22</f>
        <v>0</v>
      </c>
      <c r="AV19" s="66">
        <f>AV7/22</f>
        <v>0</v>
      </c>
      <c r="AW19" s="66">
        <f>AW7/22</f>
        <v>0</v>
      </c>
      <c r="AX19" s="66">
        <f>AX7/22</f>
        <v>0</v>
      </c>
      <c r="AY19" s="66">
        <f>AY7/22</f>
        <v>0.13636363636363635</v>
      </c>
      <c r="AZ19" s="66">
        <f>AZ7/22</f>
        <v>4.5454545454545456E-2</v>
      </c>
      <c r="BA19" s="66">
        <f>BA7/22</f>
        <v>0</v>
      </c>
      <c r="BB19" s="66">
        <f>BB7/22</f>
        <v>0.18181818181818182</v>
      </c>
      <c r="BC19" s="66">
        <f>BC7/22</f>
        <v>0</v>
      </c>
      <c r="BD19" s="66">
        <f>BD7/22</f>
        <v>9.0909090909090912E-2</v>
      </c>
      <c r="BE19" s="66">
        <f>BE7/22</f>
        <v>4.5454545454545456E-2</v>
      </c>
      <c r="BF19" s="66">
        <f>BF7/22</f>
        <v>0</v>
      </c>
      <c r="BG19" s="66">
        <f>BG7/22</f>
        <v>9.0909090909090912E-2</v>
      </c>
      <c r="BH19" s="66">
        <f>BH7/22</f>
        <v>0</v>
      </c>
      <c r="BI19" s="66">
        <f>BI7/22</f>
        <v>0</v>
      </c>
      <c r="BJ19" s="66">
        <f>BJ7/22</f>
        <v>0.40909090909090912</v>
      </c>
      <c r="BK19" s="66">
        <f>BK7/22</f>
        <v>9.0909090909090912E-2</v>
      </c>
      <c r="BL19" s="66">
        <f>BL7/22</f>
        <v>0.13636363636363635</v>
      </c>
      <c r="BM19" s="66">
        <f>BM7/22</f>
        <v>0</v>
      </c>
      <c r="BN19" s="66">
        <f>BN7/22</f>
        <v>4.5454545454545456E-2</v>
      </c>
      <c r="BO19" s="66">
        <f>BO7/22</f>
        <v>4.5454545454545456E-2</v>
      </c>
      <c r="BP19" s="66">
        <f>BP7/22</f>
        <v>0</v>
      </c>
      <c r="BQ19" s="66">
        <f>BQ7/22</f>
        <v>4.5454545454545456E-2</v>
      </c>
      <c r="BR19" s="66">
        <f>BR7/22</f>
        <v>4.5454545454545456E-2</v>
      </c>
      <c r="BS19" s="66">
        <f>BS7/22</f>
        <v>4.5454545454545456E-2</v>
      </c>
      <c r="BT19" s="66">
        <f>BT7/22</f>
        <v>0</v>
      </c>
      <c r="BU19" s="66">
        <f>BU7/22</f>
        <v>0.40909090909090912</v>
      </c>
      <c r="BV19" s="66">
        <f>BV7/22</f>
        <v>0</v>
      </c>
      <c r="BW19" s="66">
        <f>BW7/22</f>
        <v>0</v>
      </c>
      <c r="BX19" s="66">
        <f>BX7/22</f>
        <v>4.5454545454545456E-2</v>
      </c>
      <c r="BY19" s="66">
        <f>BY7/22</f>
        <v>4.5454545454545456E-2</v>
      </c>
      <c r="BZ19" s="66">
        <f>BZ7/22</f>
        <v>9.0909090909090912E-2</v>
      </c>
      <c r="CA19" s="66">
        <f>CA7/22</f>
        <v>4.5454545454545456E-2</v>
      </c>
      <c r="CB19" s="66">
        <f>CB7/22</f>
        <v>0</v>
      </c>
      <c r="CC19" s="66">
        <f>CC7/22</f>
        <v>0.13636363636363635</v>
      </c>
      <c r="CD19" s="66">
        <f>CD7/22</f>
        <v>4.5454545454545456E-2</v>
      </c>
      <c r="CE19" s="66">
        <f>CE7/22</f>
        <v>0</v>
      </c>
      <c r="CF19" s="66">
        <f>CF7/22</f>
        <v>0.22727272727272727</v>
      </c>
      <c r="CG19" s="66">
        <f>CG7/22</f>
        <v>0</v>
      </c>
      <c r="CH19" s="66">
        <f>CH7/22</f>
        <v>0</v>
      </c>
      <c r="CI19" s="66">
        <f>CI7/22</f>
        <v>0</v>
      </c>
      <c r="CJ19" s="66">
        <f>CJ7/22</f>
        <v>0.13636363636363635</v>
      </c>
      <c r="CK19" s="66">
        <f>CK7/22</f>
        <v>0</v>
      </c>
      <c r="CL19" s="66">
        <f>CL7/22</f>
        <v>9.0909090909090912E-2</v>
      </c>
      <c r="CM19" s="66">
        <f>CM7/22</f>
        <v>0.13636363636363635</v>
      </c>
      <c r="CN19" s="66">
        <f>CN7/22</f>
        <v>0</v>
      </c>
      <c r="CO19" s="66">
        <f>CO7/22</f>
        <v>0.18181818181818182</v>
      </c>
      <c r="CP19" s="66">
        <f>CP7/22</f>
        <v>0</v>
      </c>
      <c r="CQ19" s="66">
        <f>CQ7/22</f>
        <v>0</v>
      </c>
      <c r="CR19" s="66">
        <f>CR7/22</f>
        <v>0</v>
      </c>
      <c r="CS19" s="66">
        <f>CS7/22</f>
        <v>0</v>
      </c>
      <c r="CU19" s="66">
        <f>AVERAGE(B19:CS19)</f>
        <v>6.9128787878787915E-2</v>
      </c>
      <c r="CV19" s="69"/>
      <c r="CW19" s="67"/>
    </row>
    <row r="20" spans="1:101" ht="13" x14ac:dyDescent="0.25">
      <c r="A20" s="65" t="s">
        <v>303</v>
      </c>
      <c r="B20" s="66">
        <f>B8/20</f>
        <v>0.05</v>
      </c>
      <c r="C20" s="66">
        <f>C8/20</f>
        <v>0.05</v>
      </c>
      <c r="D20" s="66">
        <f>D8/20</f>
        <v>0.1</v>
      </c>
      <c r="E20" s="66">
        <f>E8/20</f>
        <v>0</v>
      </c>
      <c r="F20" s="66">
        <f>F8/20</f>
        <v>0</v>
      </c>
      <c r="G20" s="66">
        <f>G8/20</f>
        <v>0.05</v>
      </c>
      <c r="H20" s="66">
        <f>H8/20</f>
        <v>0.05</v>
      </c>
      <c r="I20" s="66">
        <f>I8/20</f>
        <v>0</v>
      </c>
      <c r="J20" s="66">
        <f>J8/20</f>
        <v>0.3</v>
      </c>
      <c r="K20" s="66">
        <f>K8/20</f>
        <v>0.05</v>
      </c>
      <c r="L20" s="66">
        <f>L8/20</f>
        <v>0.05</v>
      </c>
      <c r="M20" s="66">
        <f>M8/20</f>
        <v>0.2</v>
      </c>
      <c r="N20" s="66">
        <f>N8/20</f>
        <v>0.3</v>
      </c>
      <c r="O20" s="66">
        <f>O8/20</f>
        <v>0.25</v>
      </c>
      <c r="P20" s="66">
        <f>P8/20</f>
        <v>0.05</v>
      </c>
      <c r="Q20" s="66">
        <f>Q8/20</f>
        <v>0</v>
      </c>
      <c r="R20" s="66">
        <f>R8/20</f>
        <v>0.15</v>
      </c>
      <c r="S20" s="66">
        <f>S8/20</f>
        <v>0.2</v>
      </c>
      <c r="T20" s="66">
        <f>T8/20</f>
        <v>0.2</v>
      </c>
      <c r="U20" s="66">
        <f>U8/20</f>
        <v>0.05</v>
      </c>
      <c r="V20" s="66">
        <f>V8/20</f>
        <v>0</v>
      </c>
      <c r="W20" s="66">
        <f>W8/20</f>
        <v>0.05</v>
      </c>
      <c r="X20" s="66">
        <f>X8/20</f>
        <v>0.25</v>
      </c>
      <c r="Y20" s="66">
        <f>Y8/20</f>
        <v>0.05</v>
      </c>
      <c r="Z20" s="66">
        <f>Z8/20</f>
        <v>0.25</v>
      </c>
      <c r="AA20" s="66">
        <f>AA8/20</f>
        <v>0.05</v>
      </c>
      <c r="AB20" s="66">
        <f>AB8/20</f>
        <v>0.15</v>
      </c>
      <c r="AC20" s="66">
        <f>AC8/20</f>
        <v>0.1</v>
      </c>
      <c r="AD20" s="66">
        <f>AD8/20</f>
        <v>0.05</v>
      </c>
      <c r="AE20" s="66">
        <f>AE8/20</f>
        <v>0</v>
      </c>
      <c r="AF20" s="66">
        <f>AF8/20</f>
        <v>0</v>
      </c>
      <c r="AG20" s="66">
        <f>AG8/20</f>
        <v>0.05</v>
      </c>
      <c r="AH20" s="66">
        <f>AH8/20</f>
        <v>0</v>
      </c>
      <c r="AI20" s="66">
        <f>AI8/20</f>
        <v>0</v>
      </c>
      <c r="AJ20" s="66">
        <f>AJ8/20</f>
        <v>0.15</v>
      </c>
      <c r="AK20" s="66">
        <f>AK8/20</f>
        <v>0.05</v>
      </c>
      <c r="AL20" s="66">
        <f>AL8/20</f>
        <v>0</v>
      </c>
      <c r="AM20" s="66">
        <f>AM8/20</f>
        <v>0.75</v>
      </c>
      <c r="AN20" s="66">
        <f>AN8/20</f>
        <v>0.15</v>
      </c>
      <c r="AO20" s="66">
        <f>AO8/20</f>
        <v>0.15</v>
      </c>
      <c r="AP20" s="66">
        <f>AP8/20</f>
        <v>0.05</v>
      </c>
      <c r="AQ20" s="66">
        <f>AQ8/20</f>
        <v>0.2</v>
      </c>
      <c r="AR20" s="66">
        <f>AR8/20</f>
        <v>0</v>
      </c>
      <c r="AS20" s="66">
        <f>AS8/20</f>
        <v>0.05</v>
      </c>
      <c r="AT20" s="66">
        <f>AT8/20</f>
        <v>0</v>
      </c>
      <c r="AU20" s="66">
        <f>AU8/20</f>
        <v>0.1</v>
      </c>
      <c r="AV20" s="66">
        <f>AV8/20</f>
        <v>0</v>
      </c>
      <c r="AW20" s="66">
        <f>AW8/20</f>
        <v>0</v>
      </c>
      <c r="AX20" s="66">
        <f>AX8/20</f>
        <v>0</v>
      </c>
      <c r="AY20" s="66">
        <f>AY8/20</f>
        <v>0.05</v>
      </c>
      <c r="AZ20" s="66">
        <f>AZ8/20</f>
        <v>0.05</v>
      </c>
      <c r="BA20" s="66">
        <f>BA8/20</f>
        <v>0</v>
      </c>
      <c r="BB20" s="66">
        <f>BB8/20</f>
        <v>0</v>
      </c>
      <c r="BC20" s="66">
        <f>BC8/20</f>
        <v>0</v>
      </c>
      <c r="BD20" s="66">
        <f>BD8/20</f>
        <v>0.15</v>
      </c>
      <c r="BE20" s="66">
        <f>BE8/20</f>
        <v>0.1</v>
      </c>
      <c r="BF20" s="66">
        <f>BF8/20</f>
        <v>0</v>
      </c>
      <c r="BG20" s="66">
        <f>BG8/20</f>
        <v>0.2</v>
      </c>
      <c r="BH20" s="66">
        <f>BH8/20</f>
        <v>0.05</v>
      </c>
      <c r="BI20" s="66">
        <f>BI8/20</f>
        <v>0.05</v>
      </c>
      <c r="BJ20" s="66">
        <f>BJ8/20</f>
        <v>0.15</v>
      </c>
      <c r="BK20" s="66">
        <f>BK8/20</f>
        <v>0</v>
      </c>
      <c r="BL20" s="66">
        <f>BL8/20</f>
        <v>0.05</v>
      </c>
      <c r="BM20" s="66">
        <f>BM8/20</f>
        <v>0</v>
      </c>
      <c r="BN20" s="66">
        <f>BN8/20</f>
        <v>0.05</v>
      </c>
      <c r="BO20" s="66">
        <f>BO8/20</f>
        <v>0</v>
      </c>
      <c r="BP20" s="66">
        <f>BP8/20</f>
        <v>0.1</v>
      </c>
      <c r="BQ20" s="66">
        <f>BQ8/20</f>
        <v>0.05</v>
      </c>
      <c r="BR20" s="66">
        <f>BR8/20</f>
        <v>0.05</v>
      </c>
      <c r="BS20" s="66">
        <f>BS8/20</f>
        <v>0.05</v>
      </c>
      <c r="BT20" s="66">
        <f>BT8/20</f>
        <v>0.05</v>
      </c>
      <c r="BU20" s="66">
        <f>BU8/20</f>
        <v>0.1</v>
      </c>
      <c r="BV20" s="66">
        <f>BV8/20</f>
        <v>0.15</v>
      </c>
      <c r="BW20" s="66">
        <f>BW8/20</f>
        <v>0.15</v>
      </c>
      <c r="BX20" s="66">
        <f>BX8/20</f>
        <v>0</v>
      </c>
      <c r="BY20" s="66">
        <f>BY8/20</f>
        <v>0.15</v>
      </c>
      <c r="BZ20" s="66">
        <f>BZ8/20</f>
        <v>0</v>
      </c>
      <c r="CA20" s="66">
        <f>CA8/20</f>
        <v>0</v>
      </c>
      <c r="CB20" s="66">
        <f>CB8/20</f>
        <v>0</v>
      </c>
      <c r="CC20" s="66">
        <f>CC8/20</f>
        <v>0.1</v>
      </c>
      <c r="CD20" s="66">
        <f>CD8/20</f>
        <v>0</v>
      </c>
      <c r="CE20" s="66">
        <f>CE8/20</f>
        <v>0</v>
      </c>
      <c r="CF20" s="66">
        <f>CF8/20</f>
        <v>0.35</v>
      </c>
      <c r="CG20" s="66">
        <f>CG8/20</f>
        <v>0</v>
      </c>
      <c r="CH20" s="66">
        <f>CH8/20</f>
        <v>0</v>
      </c>
      <c r="CI20" s="66">
        <f>CI8/20</f>
        <v>0</v>
      </c>
      <c r="CJ20" s="66">
        <f>CJ8/20</f>
        <v>0.1</v>
      </c>
      <c r="CK20" s="66">
        <f>CK8/20</f>
        <v>0</v>
      </c>
      <c r="CL20" s="66">
        <f>CL8/20</f>
        <v>0.05</v>
      </c>
      <c r="CM20" s="66">
        <f>CM8/20</f>
        <v>0.05</v>
      </c>
      <c r="CN20" s="66">
        <f>CN8/20</f>
        <v>0</v>
      </c>
      <c r="CO20" s="66">
        <f>CO8/20</f>
        <v>0.15</v>
      </c>
      <c r="CP20" s="66">
        <f>CP8/20</f>
        <v>0</v>
      </c>
      <c r="CQ20" s="66">
        <f>CQ8/20</f>
        <v>0</v>
      </c>
      <c r="CR20" s="66">
        <f>CR8/20</f>
        <v>0</v>
      </c>
      <c r="CS20" s="66">
        <f>CS8/20</f>
        <v>0</v>
      </c>
      <c r="CU20" s="66">
        <f>AVERAGE(B20:CS20)</f>
        <v>7.6041666666666632E-2</v>
      </c>
      <c r="CV20" s="69"/>
      <c r="CW20" s="67"/>
    </row>
    <row r="21" spans="1:101" ht="13" x14ac:dyDescent="0.25">
      <c r="A21" s="65" t="s">
        <v>304</v>
      </c>
      <c r="B21" s="66">
        <f>B9/23</f>
        <v>0.17391304347826086</v>
      </c>
      <c r="C21" s="66">
        <f>C9/23</f>
        <v>0.13043478260869565</v>
      </c>
      <c r="D21" s="66">
        <f>D9/23</f>
        <v>0.52173913043478259</v>
      </c>
      <c r="E21" s="66">
        <f>E9/23</f>
        <v>0</v>
      </c>
      <c r="F21" s="66">
        <f>F9/23</f>
        <v>8.6956521739130432E-2</v>
      </c>
      <c r="G21" s="66">
        <f>G9/23</f>
        <v>0.17391304347826086</v>
      </c>
      <c r="H21" s="66">
        <f>H9/23</f>
        <v>4.3478260869565216E-2</v>
      </c>
      <c r="I21" s="66">
        <f>I9/23</f>
        <v>4.3478260869565216E-2</v>
      </c>
      <c r="J21" s="66">
        <f>J9/23</f>
        <v>0.21739130434782608</v>
      </c>
      <c r="K21" s="66">
        <f>K9/23</f>
        <v>0.2608695652173913</v>
      </c>
      <c r="L21" s="66">
        <f>L9/23</f>
        <v>8.6956521739130432E-2</v>
      </c>
      <c r="M21" s="66">
        <f>M9/23</f>
        <v>0.13043478260869565</v>
      </c>
      <c r="N21" s="66">
        <f>N9/23</f>
        <v>0.56521739130434778</v>
      </c>
      <c r="O21" s="66">
        <f>O9/23</f>
        <v>0.21739130434782608</v>
      </c>
      <c r="P21" s="66">
        <f>P9/23</f>
        <v>8.6956521739130432E-2</v>
      </c>
      <c r="Q21" s="66">
        <f>Q9/23</f>
        <v>0</v>
      </c>
      <c r="R21" s="66">
        <f>R9/23</f>
        <v>4.3478260869565216E-2</v>
      </c>
      <c r="S21" s="66">
        <f>S9/23</f>
        <v>0</v>
      </c>
      <c r="T21" s="66">
        <f>T9/23</f>
        <v>0.17391304347826086</v>
      </c>
      <c r="U21" s="66">
        <f>U9/23</f>
        <v>0</v>
      </c>
      <c r="V21" s="66">
        <f>V9/23</f>
        <v>0.2608695652173913</v>
      </c>
      <c r="W21" s="66">
        <f>W9/23</f>
        <v>0.39130434782608697</v>
      </c>
      <c r="X21" s="66">
        <f>X9/23</f>
        <v>0.13043478260869565</v>
      </c>
      <c r="Y21" s="66">
        <f>Y9/23</f>
        <v>0</v>
      </c>
      <c r="Z21" s="66">
        <f>Z9/23</f>
        <v>0</v>
      </c>
      <c r="AA21" s="66">
        <f>AA9/23</f>
        <v>8.6956521739130432E-2</v>
      </c>
      <c r="AB21" s="66">
        <f>AB9/23</f>
        <v>0.13043478260869565</v>
      </c>
      <c r="AC21" s="66">
        <f>AC9/23</f>
        <v>0.13043478260869565</v>
      </c>
      <c r="AD21" s="66">
        <f>AD9/23</f>
        <v>8.6956521739130432E-2</v>
      </c>
      <c r="AE21" s="66">
        <f>AE9/23</f>
        <v>8.6956521739130432E-2</v>
      </c>
      <c r="AF21" s="66">
        <f>AF9/23</f>
        <v>0.2608695652173913</v>
      </c>
      <c r="AG21" s="66">
        <f>AG9/23</f>
        <v>0</v>
      </c>
      <c r="AH21" s="66">
        <f>AH9/23</f>
        <v>0</v>
      </c>
      <c r="AI21" s="66">
        <f>AI9/23</f>
        <v>0</v>
      </c>
      <c r="AJ21" s="66">
        <f>AJ9/23</f>
        <v>4.3478260869565216E-2</v>
      </c>
      <c r="AK21" s="66">
        <f>AK9/23</f>
        <v>0</v>
      </c>
      <c r="AL21" s="66">
        <f>AL9/23</f>
        <v>0</v>
      </c>
      <c r="AM21" s="66">
        <f>AM9/23</f>
        <v>0.82608695652173914</v>
      </c>
      <c r="AN21" s="66">
        <f>AN9/23</f>
        <v>0.21739130434782608</v>
      </c>
      <c r="AO21" s="66">
        <f>AO9/23</f>
        <v>0</v>
      </c>
      <c r="AP21" s="66">
        <f>AP9/23</f>
        <v>0</v>
      </c>
      <c r="AQ21" s="66">
        <f>AQ9/23</f>
        <v>4.3478260869565216E-2</v>
      </c>
      <c r="AR21" s="66">
        <f>AR9/23</f>
        <v>0.2608695652173913</v>
      </c>
      <c r="AS21" s="66">
        <f>AS9/23</f>
        <v>0.13043478260869565</v>
      </c>
      <c r="AT21" s="66">
        <f>AT9/23</f>
        <v>8.6956521739130432E-2</v>
      </c>
      <c r="AU21" s="66">
        <f>AU9/23</f>
        <v>4.3478260869565216E-2</v>
      </c>
      <c r="AV21" s="66">
        <f>AV9/23</f>
        <v>0</v>
      </c>
      <c r="AW21" s="66">
        <f>AW9/23</f>
        <v>4.3478260869565216E-2</v>
      </c>
      <c r="AX21" s="66">
        <f>AX9/23</f>
        <v>4.3478260869565216E-2</v>
      </c>
      <c r="AY21" s="66">
        <f>AY9/23</f>
        <v>8.6956521739130432E-2</v>
      </c>
      <c r="AZ21" s="66">
        <f>AZ9/23</f>
        <v>0</v>
      </c>
      <c r="BA21" s="66">
        <f>BA9/23</f>
        <v>0</v>
      </c>
      <c r="BB21" s="66">
        <f>BB9/23</f>
        <v>0.17391304347826086</v>
      </c>
      <c r="BC21" s="66">
        <f>BC9/23</f>
        <v>0</v>
      </c>
      <c r="BD21" s="66">
        <f>BD9/23</f>
        <v>0.2608695652173913</v>
      </c>
      <c r="BE21" s="66">
        <f>BE9/23</f>
        <v>8.6956521739130432E-2</v>
      </c>
      <c r="BF21" s="66">
        <f>BF9/23</f>
        <v>4.3478260869565216E-2</v>
      </c>
      <c r="BG21" s="66">
        <f>BG9/23</f>
        <v>0.13043478260869565</v>
      </c>
      <c r="BH21" s="66">
        <f>BH9/23</f>
        <v>4.3478260869565216E-2</v>
      </c>
      <c r="BI21" s="66">
        <f>BI9/23</f>
        <v>0</v>
      </c>
      <c r="BJ21" s="66">
        <f>BJ9/23</f>
        <v>0.17391304347826086</v>
      </c>
      <c r="BK21" s="66">
        <f>BK9/23</f>
        <v>0.17391304347826086</v>
      </c>
      <c r="BL21" s="66">
        <f>BL9/23</f>
        <v>0.21739130434782608</v>
      </c>
      <c r="BM21" s="66">
        <f>BM9/23</f>
        <v>0</v>
      </c>
      <c r="BN21" s="66">
        <f>BN9/23</f>
        <v>8.6956521739130432E-2</v>
      </c>
      <c r="BO21" s="66">
        <f>BO9/23</f>
        <v>4.3478260869565216E-2</v>
      </c>
      <c r="BP21" s="66">
        <f>BP9/23</f>
        <v>0.17391304347826086</v>
      </c>
      <c r="BQ21" s="66">
        <f>BQ9/23</f>
        <v>4.3478260869565216E-2</v>
      </c>
      <c r="BR21" s="66">
        <f>BR9/23</f>
        <v>4.3478260869565216E-2</v>
      </c>
      <c r="BS21" s="66">
        <f>BS9/23</f>
        <v>4.3478260869565216E-2</v>
      </c>
      <c r="BT21" s="66">
        <f>BT9/23</f>
        <v>4.3478260869565216E-2</v>
      </c>
      <c r="BU21" s="66">
        <f>BU9/23</f>
        <v>0.13043478260869565</v>
      </c>
      <c r="BV21" s="66">
        <f>BV9/23</f>
        <v>0.30434782608695654</v>
      </c>
      <c r="BW21" s="66">
        <f>BW9/23</f>
        <v>0.30434782608695654</v>
      </c>
      <c r="BX21" s="66">
        <f>BX9/23</f>
        <v>0</v>
      </c>
      <c r="BY21" s="66">
        <f>BY9/23</f>
        <v>0.17391304347826086</v>
      </c>
      <c r="BZ21" s="66">
        <f>BZ9/23</f>
        <v>0.2608695652173913</v>
      </c>
      <c r="CA21" s="66">
        <f>CA9/23</f>
        <v>8.6956521739130432E-2</v>
      </c>
      <c r="CB21" s="66">
        <f>CB9/23</f>
        <v>0</v>
      </c>
      <c r="CC21" s="66">
        <f>CC9/23</f>
        <v>8.6956521739130432E-2</v>
      </c>
      <c r="CD21" s="66">
        <f>CD9/23</f>
        <v>0</v>
      </c>
      <c r="CE21" s="66">
        <f>CE9/23</f>
        <v>4.3478260869565216E-2</v>
      </c>
      <c r="CF21" s="66">
        <f>CF9/23</f>
        <v>4.3478260869565216E-2</v>
      </c>
      <c r="CG21" s="66">
        <f>CG9/23</f>
        <v>0</v>
      </c>
      <c r="CH21" s="66">
        <f>CH9/23</f>
        <v>4.3478260869565216E-2</v>
      </c>
      <c r="CI21" s="66">
        <f>CI9/23</f>
        <v>0</v>
      </c>
      <c r="CJ21" s="66">
        <f>CJ9/23</f>
        <v>4.3478260869565216E-2</v>
      </c>
      <c r="CK21" s="66">
        <f>CK9/23</f>
        <v>0</v>
      </c>
      <c r="CL21" s="66">
        <f>CL9/23</f>
        <v>0.17391304347826086</v>
      </c>
      <c r="CM21" s="66">
        <f>CM9/23</f>
        <v>0.43478260869565216</v>
      </c>
      <c r="CN21" s="66">
        <f>CN9/23</f>
        <v>0.13043478260869565</v>
      </c>
      <c r="CO21" s="66">
        <f>CO9/23</f>
        <v>0.78260869565217395</v>
      </c>
      <c r="CP21" s="66">
        <f>CP9/23</f>
        <v>0.2608695652173913</v>
      </c>
      <c r="CQ21" s="66">
        <f>CQ9/23</f>
        <v>0</v>
      </c>
      <c r="CR21" s="66">
        <f>CR9/23</f>
        <v>4.3478260869565216E-2</v>
      </c>
      <c r="CS21" s="66">
        <f>CS9/23</f>
        <v>8.6956521739130432E-2</v>
      </c>
      <c r="CU21" s="66">
        <f>AVERAGE(B21:CS21)</f>
        <v>0.12047101449275362</v>
      </c>
      <c r="CV21" s="69"/>
      <c r="CW21" s="67"/>
    </row>
    <row r="22" spans="1:101" ht="13" x14ac:dyDescent="0.25">
      <c r="A22" s="65" t="s">
        <v>305</v>
      </c>
      <c r="B22" s="66">
        <f>B10/22</f>
        <v>0</v>
      </c>
      <c r="C22" s="66">
        <f>C10/22</f>
        <v>4.5454545454545456E-2</v>
      </c>
      <c r="D22" s="66">
        <f>D10/22</f>
        <v>9.0909090909090912E-2</v>
      </c>
      <c r="E22" s="66">
        <f>E10/22</f>
        <v>0</v>
      </c>
      <c r="F22" s="66">
        <f>F10/22</f>
        <v>4.5454545454545456E-2</v>
      </c>
      <c r="G22" s="66">
        <f>G10/22</f>
        <v>4.5454545454545456E-2</v>
      </c>
      <c r="H22" s="66">
        <f>H10/22</f>
        <v>9.0909090909090912E-2</v>
      </c>
      <c r="I22" s="66">
        <f>I10/22</f>
        <v>0.18181818181818182</v>
      </c>
      <c r="J22" s="66">
        <f>J10/22</f>
        <v>9.0909090909090912E-2</v>
      </c>
      <c r="K22" s="66">
        <f>K10/22</f>
        <v>0.13636363636363635</v>
      </c>
      <c r="L22" s="66">
        <f>L10/22</f>
        <v>0.13636363636363635</v>
      </c>
      <c r="M22" s="66">
        <f>M10/22</f>
        <v>0.13636363636363635</v>
      </c>
      <c r="N22" s="66">
        <f>N10/22</f>
        <v>0.5</v>
      </c>
      <c r="O22" s="66">
        <f>O10/22</f>
        <v>0.18181818181818182</v>
      </c>
      <c r="P22" s="66">
        <f>P10/22</f>
        <v>0.22727272727272727</v>
      </c>
      <c r="Q22" s="66">
        <f>Q10/22</f>
        <v>0.13636363636363635</v>
      </c>
      <c r="R22" s="66">
        <f>R10/22</f>
        <v>0.18181818181818182</v>
      </c>
      <c r="S22" s="66">
        <f>S10/22</f>
        <v>4.5454545454545456E-2</v>
      </c>
      <c r="T22" s="66">
        <f>T10/22</f>
        <v>0.68181818181818177</v>
      </c>
      <c r="U22" s="66">
        <f>U10/22</f>
        <v>9.0909090909090912E-2</v>
      </c>
      <c r="V22" s="66">
        <f>V10/22</f>
        <v>9.0909090909090912E-2</v>
      </c>
      <c r="W22" s="66">
        <f>W10/22</f>
        <v>4.5454545454545456E-2</v>
      </c>
      <c r="X22" s="66">
        <f>X10/22</f>
        <v>0.13636363636363635</v>
      </c>
      <c r="Y22" s="66">
        <f>Y10/22</f>
        <v>0</v>
      </c>
      <c r="Z22" s="66">
        <f>Z10/22</f>
        <v>4.5454545454545456E-2</v>
      </c>
      <c r="AA22" s="66">
        <f>AA10/22</f>
        <v>0</v>
      </c>
      <c r="AB22" s="66">
        <f>AB10/22</f>
        <v>9.0909090909090912E-2</v>
      </c>
      <c r="AC22" s="66">
        <f>AC10/22</f>
        <v>0.18181818181818182</v>
      </c>
      <c r="AD22" s="66">
        <f>AD10/22</f>
        <v>0</v>
      </c>
      <c r="AE22" s="66">
        <f>AE10/22</f>
        <v>4.5454545454545456E-2</v>
      </c>
      <c r="AF22" s="66">
        <f>AF10/22</f>
        <v>0.22727272727272727</v>
      </c>
      <c r="AG22" s="66">
        <f>AG10/22</f>
        <v>4.5454545454545456E-2</v>
      </c>
      <c r="AH22" s="66">
        <f>AH10/22</f>
        <v>4.5454545454545456E-2</v>
      </c>
      <c r="AI22" s="66">
        <f>AI10/22</f>
        <v>0</v>
      </c>
      <c r="AJ22" s="66">
        <f>AJ10/22</f>
        <v>0</v>
      </c>
      <c r="AK22" s="66">
        <f>AK10/22</f>
        <v>0</v>
      </c>
      <c r="AL22" s="66">
        <f>AL10/22</f>
        <v>0</v>
      </c>
      <c r="AM22" s="66">
        <f>AM10/22</f>
        <v>4.5454545454545456E-2</v>
      </c>
      <c r="AN22" s="66">
        <f>AN10/22</f>
        <v>9.0909090909090912E-2</v>
      </c>
      <c r="AO22" s="66">
        <f>AO10/22</f>
        <v>0</v>
      </c>
      <c r="AP22" s="66">
        <f>AP10/22</f>
        <v>9.0909090909090912E-2</v>
      </c>
      <c r="AQ22" s="66">
        <f>AQ10/22</f>
        <v>4.5454545454545456E-2</v>
      </c>
      <c r="AR22" s="66">
        <f>AR10/22</f>
        <v>4.5454545454545456E-2</v>
      </c>
      <c r="AS22" s="66">
        <f>AS10/22</f>
        <v>4.5454545454545456E-2</v>
      </c>
      <c r="AT22" s="66">
        <f>AT10/22</f>
        <v>0</v>
      </c>
      <c r="AU22" s="66">
        <f>AU10/22</f>
        <v>9.0909090909090912E-2</v>
      </c>
      <c r="AV22" s="66">
        <f>AV10/22</f>
        <v>0</v>
      </c>
      <c r="AW22" s="66">
        <f>AW10/22</f>
        <v>4.5454545454545456E-2</v>
      </c>
      <c r="AX22" s="66">
        <f>AX10/22</f>
        <v>4.5454545454545456E-2</v>
      </c>
      <c r="AY22" s="66">
        <f>AY10/22</f>
        <v>0</v>
      </c>
      <c r="AZ22" s="66">
        <f>AZ10/22</f>
        <v>9.0909090909090912E-2</v>
      </c>
      <c r="BA22" s="66">
        <f>BA10/22</f>
        <v>0</v>
      </c>
      <c r="BB22" s="66">
        <f>BB10/22</f>
        <v>0.18181818181818182</v>
      </c>
      <c r="BC22" s="66">
        <f>BC10/22</f>
        <v>0</v>
      </c>
      <c r="BD22" s="66">
        <f>BD10/22</f>
        <v>4.5454545454545456E-2</v>
      </c>
      <c r="BE22" s="66">
        <f>BE10/22</f>
        <v>9.0909090909090912E-2</v>
      </c>
      <c r="BF22" s="66">
        <f>BF10/22</f>
        <v>4.5454545454545456E-2</v>
      </c>
      <c r="BG22" s="66">
        <f>BG10/22</f>
        <v>0.18181818181818182</v>
      </c>
      <c r="BH22" s="66">
        <f>BH10/22</f>
        <v>4.5454545454545456E-2</v>
      </c>
      <c r="BI22" s="66">
        <f>BI10/22</f>
        <v>0</v>
      </c>
      <c r="BJ22" s="66">
        <f>BJ10/22</f>
        <v>4.5454545454545456E-2</v>
      </c>
      <c r="BK22" s="66">
        <f>BK10/22</f>
        <v>0.22727272727272727</v>
      </c>
      <c r="BL22" s="66">
        <f>BL10/22</f>
        <v>9.0909090909090912E-2</v>
      </c>
      <c r="BM22" s="66">
        <f>BM10/22</f>
        <v>4.5454545454545456E-2</v>
      </c>
      <c r="BN22" s="66">
        <f>BN10/22</f>
        <v>0</v>
      </c>
      <c r="BO22" s="66">
        <f>BO10/22</f>
        <v>0</v>
      </c>
      <c r="BP22" s="66">
        <f>BP10/22</f>
        <v>9.0909090909090912E-2</v>
      </c>
      <c r="BQ22" s="66">
        <f>BQ10/22</f>
        <v>4.5454545454545456E-2</v>
      </c>
      <c r="BR22" s="66">
        <f>BR10/22</f>
        <v>4.5454545454545456E-2</v>
      </c>
      <c r="BS22" s="66">
        <f>BS10/22</f>
        <v>0.13636363636363635</v>
      </c>
      <c r="BT22" s="66">
        <f>BT10/22</f>
        <v>0</v>
      </c>
      <c r="BU22" s="66">
        <f>BU10/22</f>
        <v>4.5454545454545456E-2</v>
      </c>
      <c r="BV22" s="66">
        <f>BV10/22</f>
        <v>9.0909090909090912E-2</v>
      </c>
      <c r="BW22" s="66">
        <f>BW10/22</f>
        <v>9.0909090909090912E-2</v>
      </c>
      <c r="BX22" s="66">
        <f>BX10/22</f>
        <v>0</v>
      </c>
      <c r="BY22" s="66">
        <f>BY10/22</f>
        <v>4.5454545454545456E-2</v>
      </c>
      <c r="BZ22" s="66">
        <f>BZ10/22</f>
        <v>0.18181818181818182</v>
      </c>
      <c r="CA22" s="66">
        <f>CA10/22</f>
        <v>4.5454545454545456E-2</v>
      </c>
      <c r="CB22" s="66">
        <f>CB10/22</f>
        <v>0</v>
      </c>
      <c r="CC22" s="66">
        <f>CC10/22</f>
        <v>0</v>
      </c>
      <c r="CD22" s="66">
        <f>CD10/22</f>
        <v>0</v>
      </c>
      <c r="CE22" s="66">
        <f>CE10/22</f>
        <v>4.5454545454545456E-2</v>
      </c>
      <c r="CF22" s="66">
        <f>CF10/22</f>
        <v>0.18181818181818182</v>
      </c>
      <c r="CG22" s="66">
        <f>CG10/22</f>
        <v>9.0909090909090912E-2</v>
      </c>
      <c r="CH22" s="66">
        <f>CH10/22</f>
        <v>4.5454545454545456E-2</v>
      </c>
      <c r="CI22" s="66">
        <f>CI10/22</f>
        <v>0</v>
      </c>
      <c r="CJ22" s="66">
        <f>CJ10/22</f>
        <v>9.0909090909090912E-2</v>
      </c>
      <c r="CK22" s="66">
        <f>CK10/22</f>
        <v>0.27272727272727271</v>
      </c>
      <c r="CL22" s="66">
        <f>CL10/22</f>
        <v>4.5454545454545456E-2</v>
      </c>
      <c r="CM22" s="66">
        <f>CM10/22</f>
        <v>0.13636363636363635</v>
      </c>
      <c r="CN22" s="66">
        <f>CN10/22</f>
        <v>0</v>
      </c>
      <c r="CO22" s="66">
        <f>CO10/22</f>
        <v>4.5454545454545456E-2</v>
      </c>
      <c r="CP22" s="66">
        <f>CP10/22</f>
        <v>0</v>
      </c>
      <c r="CQ22" s="66">
        <f>CQ10/22</f>
        <v>0</v>
      </c>
      <c r="CR22" s="66">
        <f>CR10/22</f>
        <v>4.5454545454545456E-2</v>
      </c>
      <c r="CS22" s="66">
        <f>CS10/22</f>
        <v>4.5454545454545456E-2</v>
      </c>
      <c r="CU22" s="66">
        <f>AVERAGE(B22:CS22)</f>
        <v>7.8125000000000069E-2</v>
      </c>
      <c r="CV22" s="69"/>
      <c r="CW22" s="67"/>
    </row>
    <row r="23" spans="1:101" ht="13" x14ac:dyDescent="0.25">
      <c r="A23" s="65" t="s">
        <v>306</v>
      </c>
      <c r="B23" s="66">
        <f>B11/21</f>
        <v>4.7619047619047616E-2</v>
      </c>
      <c r="C23" s="66">
        <f>C11/21</f>
        <v>9.5238095238095233E-2</v>
      </c>
      <c r="D23" s="66">
        <f>D11/21</f>
        <v>0.19047619047619047</v>
      </c>
      <c r="E23" s="66">
        <f>E11/21</f>
        <v>0</v>
      </c>
      <c r="F23" s="66">
        <f>F11/21</f>
        <v>4.7619047619047616E-2</v>
      </c>
      <c r="G23" s="66">
        <f>G11/21</f>
        <v>0.19047619047619047</v>
      </c>
      <c r="H23" s="66">
        <f>H11/21</f>
        <v>9.5238095238095233E-2</v>
      </c>
      <c r="I23" s="66">
        <f>I11/21</f>
        <v>4.7619047619047616E-2</v>
      </c>
      <c r="J23" s="66">
        <f>J11/21</f>
        <v>0</v>
      </c>
      <c r="K23" s="66">
        <f>K11/21</f>
        <v>0.23809523809523808</v>
      </c>
      <c r="L23" s="66">
        <f>L11/21</f>
        <v>0.38095238095238093</v>
      </c>
      <c r="M23" s="66">
        <f>M11/21</f>
        <v>4.7619047619047616E-2</v>
      </c>
      <c r="N23" s="66">
        <f>N11/21</f>
        <v>0.76190476190476186</v>
      </c>
      <c r="O23" s="66">
        <f>O11/21</f>
        <v>9.5238095238095233E-2</v>
      </c>
      <c r="P23" s="66">
        <f>P11/21</f>
        <v>9.5238095238095233E-2</v>
      </c>
      <c r="Q23" s="66">
        <f>Q11/21</f>
        <v>0.14285714285714285</v>
      </c>
      <c r="R23" s="66">
        <f>R11/21</f>
        <v>9.5238095238095233E-2</v>
      </c>
      <c r="S23" s="66">
        <f>S11/21</f>
        <v>0.19047619047619047</v>
      </c>
      <c r="T23" s="66">
        <f>T11/21</f>
        <v>0.76190476190476186</v>
      </c>
      <c r="U23" s="66">
        <f>U11/21</f>
        <v>9.5238095238095233E-2</v>
      </c>
      <c r="V23" s="66">
        <f>V11/21</f>
        <v>0.2857142857142857</v>
      </c>
      <c r="W23" s="66">
        <f>W11/21</f>
        <v>0.14285714285714285</v>
      </c>
      <c r="X23" s="66">
        <f>X11/21</f>
        <v>9.5238095238095233E-2</v>
      </c>
      <c r="Y23" s="66">
        <f>Y11/21</f>
        <v>0</v>
      </c>
      <c r="Z23" s="66">
        <f>Z11/21</f>
        <v>9.5238095238095233E-2</v>
      </c>
      <c r="AA23" s="66">
        <f>AA11/21</f>
        <v>0</v>
      </c>
      <c r="AB23" s="66">
        <f>AB11/21</f>
        <v>4.7619047619047616E-2</v>
      </c>
      <c r="AC23" s="66">
        <f>AC11/21</f>
        <v>9.5238095238095233E-2</v>
      </c>
      <c r="AD23" s="66">
        <f>AD11/21</f>
        <v>0</v>
      </c>
      <c r="AE23" s="66">
        <f>AE11/21</f>
        <v>0</v>
      </c>
      <c r="AF23" s="66">
        <f>AF11/21</f>
        <v>4.7619047619047616E-2</v>
      </c>
      <c r="AG23" s="66">
        <f>AG11/21</f>
        <v>0.19047619047619047</v>
      </c>
      <c r="AH23" s="66">
        <f>AH11/21</f>
        <v>4.7619047619047616E-2</v>
      </c>
      <c r="AI23" s="66">
        <f>AI11/21</f>
        <v>0.14285714285714285</v>
      </c>
      <c r="AJ23" s="66">
        <f>AJ11/21</f>
        <v>0</v>
      </c>
      <c r="AK23" s="66">
        <f>AK11/21</f>
        <v>0</v>
      </c>
      <c r="AL23" s="66">
        <f>AL11/21</f>
        <v>0.14285714285714285</v>
      </c>
      <c r="AM23" s="66">
        <f>AM11/21</f>
        <v>0</v>
      </c>
      <c r="AN23" s="66">
        <f>AN11/21</f>
        <v>9.5238095238095233E-2</v>
      </c>
      <c r="AO23" s="66">
        <f>AO11/21</f>
        <v>0</v>
      </c>
      <c r="AP23" s="66">
        <f>AP11/21</f>
        <v>0.38095238095238093</v>
      </c>
      <c r="AQ23" s="66">
        <f>AQ11/21</f>
        <v>4.7619047619047616E-2</v>
      </c>
      <c r="AR23" s="66">
        <f>AR11/21</f>
        <v>9.5238095238095233E-2</v>
      </c>
      <c r="AS23" s="66">
        <f>AS11/21</f>
        <v>4.7619047619047616E-2</v>
      </c>
      <c r="AT23" s="66">
        <f>AT11/21</f>
        <v>0</v>
      </c>
      <c r="AU23" s="66">
        <f>AU11/21</f>
        <v>0</v>
      </c>
      <c r="AV23" s="66">
        <f>AV11/21</f>
        <v>0</v>
      </c>
      <c r="AW23" s="66">
        <f>AW11/21</f>
        <v>4.7619047619047616E-2</v>
      </c>
      <c r="AX23" s="66">
        <f>AX11/21</f>
        <v>4.7619047619047616E-2</v>
      </c>
      <c r="AY23" s="66">
        <f>AY11/21</f>
        <v>9.5238095238095233E-2</v>
      </c>
      <c r="AZ23" s="66">
        <f>AZ11/21</f>
        <v>4.7619047619047616E-2</v>
      </c>
      <c r="BA23" s="66">
        <f>BA11/21</f>
        <v>0</v>
      </c>
      <c r="BB23" s="66">
        <f>BB11/21</f>
        <v>4.7619047619047616E-2</v>
      </c>
      <c r="BC23" s="66">
        <f>BC11/21</f>
        <v>0</v>
      </c>
      <c r="BD23" s="66">
        <f>BD11/21</f>
        <v>0</v>
      </c>
      <c r="BE23" s="66">
        <f>BE11/21</f>
        <v>9.5238095238095233E-2</v>
      </c>
      <c r="BF23" s="66">
        <f>BF11/21</f>
        <v>4.7619047619047616E-2</v>
      </c>
      <c r="BG23" s="66">
        <f>BG11/21</f>
        <v>9.5238095238095233E-2</v>
      </c>
      <c r="BH23" s="66">
        <f>BH11/21</f>
        <v>0</v>
      </c>
      <c r="BI23" s="66">
        <f>BI11/21</f>
        <v>0</v>
      </c>
      <c r="BJ23" s="66">
        <f>BJ11/21</f>
        <v>4.7619047619047616E-2</v>
      </c>
      <c r="BK23" s="66">
        <f>BK11/21</f>
        <v>0.14285714285714285</v>
      </c>
      <c r="BL23" s="66">
        <f>BL11/21</f>
        <v>4.7619047619047616E-2</v>
      </c>
      <c r="BM23" s="66">
        <f>BM11/21</f>
        <v>0.14285714285714285</v>
      </c>
      <c r="BN23" s="66">
        <f>BN11/21</f>
        <v>9.5238095238095233E-2</v>
      </c>
      <c r="BO23" s="66">
        <f>BO11/21</f>
        <v>9.5238095238095233E-2</v>
      </c>
      <c r="BP23" s="66">
        <f>BP11/21</f>
        <v>0</v>
      </c>
      <c r="BQ23" s="66">
        <f>BQ11/21</f>
        <v>4.7619047619047616E-2</v>
      </c>
      <c r="BR23" s="66">
        <f>BR11/21</f>
        <v>4.7619047619047616E-2</v>
      </c>
      <c r="BS23" s="66">
        <f>BS11/21</f>
        <v>0</v>
      </c>
      <c r="BT23" s="66">
        <f>BT11/21</f>
        <v>4.7619047619047616E-2</v>
      </c>
      <c r="BU23" s="66">
        <f>BU11/21</f>
        <v>4.7619047619047616E-2</v>
      </c>
      <c r="BV23" s="66">
        <f>BV11/21</f>
        <v>9.5238095238095233E-2</v>
      </c>
      <c r="BW23" s="66">
        <f>BW11/21</f>
        <v>9.5238095238095233E-2</v>
      </c>
      <c r="BX23" s="66">
        <f>BX11/21</f>
        <v>0</v>
      </c>
      <c r="BY23" s="66">
        <f>BY11/21</f>
        <v>4.7619047619047616E-2</v>
      </c>
      <c r="BZ23" s="66">
        <f>BZ11/21</f>
        <v>0.2857142857142857</v>
      </c>
      <c r="CA23" s="66">
        <f>CA11/21</f>
        <v>0</v>
      </c>
      <c r="CB23" s="66">
        <f>CB11/21</f>
        <v>0</v>
      </c>
      <c r="CC23" s="66">
        <f>CC11/21</f>
        <v>0</v>
      </c>
      <c r="CD23" s="66">
        <f>CD11/21</f>
        <v>4.7619047619047616E-2</v>
      </c>
      <c r="CE23" s="66">
        <f>CE11/21</f>
        <v>9.5238095238095233E-2</v>
      </c>
      <c r="CF23" s="66">
        <f>CF11/21</f>
        <v>9.5238095238095233E-2</v>
      </c>
      <c r="CG23" s="66">
        <f>CG11/21</f>
        <v>0.19047619047619047</v>
      </c>
      <c r="CH23" s="66">
        <f>CH11/21</f>
        <v>4.7619047619047616E-2</v>
      </c>
      <c r="CI23" s="66">
        <f>CI11/21</f>
        <v>4.7619047619047616E-2</v>
      </c>
      <c r="CJ23" s="66">
        <f>CJ11/21</f>
        <v>4.7619047619047616E-2</v>
      </c>
      <c r="CK23" s="66">
        <f>CK11/21</f>
        <v>0.38095238095238093</v>
      </c>
      <c r="CL23" s="66">
        <f>CL11/21</f>
        <v>0</v>
      </c>
      <c r="CM23" s="66">
        <f>CM11/21</f>
        <v>0.19047619047619047</v>
      </c>
      <c r="CN23" s="66">
        <f>CN11/21</f>
        <v>0</v>
      </c>
      <c r="CO23" s="66">
        <f>CO11/21</f>
        <v>9.5238095238095233E-2</v>
      </c>
      <c r="CP23" s="66">
        <f>CP11/21</f>
        <v>0.19047619047619047</v>
      </c>
      <c r="CQ23" s="66">
        <f>CQ11/21</f>
        <v>0</v>
      </c>
      <c r="CR23" s="66">
        <f>CR11/21</f>
        <v>4.7619047619047616E-2</v>
      </c>
      <c r="CS23" s="66">
        <f>CS11/21</f>
        <v>9.5238095238095233E-2</v>
      </c>
      <c r="CU23" s="66">
        <f>AVERAGE(B23:CS23)</f>
        <v>9.3749999999999903E-2</v>
      </c>
      <c r="CV23" s="69"/>
      <c r="CW23" s="67"/>
    </row>
    <row r="24" spans="1:101" ht="13" x14ac:dyDescent="0.25">
      <c r="A24" s="65" t="s">
        <v>307</v>
      </c>
      <c r="B24" s="66">
        <f>B12/22</f>
        <v>0</v>
      </c>
      <c r="C24" s="66">
        <f>C12/22</f>
        <v>0</v>
      </c>
      <c r="D24" s="66">
        <f>D12/22</f>
        <v>0.22727272727272727</v>
      </c>
      <c r="E24" s="66">
        <f>E12/22</f>
        <v>4.5454545454545456E-2</v>
      </c>
      <c r="F24" s="66">
        <f>F12/22</f>
        <v>4.5454545454545456E-2</v>
      </c>
      <c r="G24" s="66">
        <f>G12/22</f>
        <v>4.5454545454545456E-2</v>
      </c>
      <c r="H24" s="66">
        <f>H12/22</f>
        <v>0.22727272727272727</v>
      </c>
      <c r="I24" s="66">
        <f>I12/22</f>
        <v>4.5454545454545456E-2</v>
      </c>
      <c r="J24" s="66">
        <f>J12/22</f>
        <v>9.0909090909090912E-2</v>
      </c>
      <c r="K24" s="66">
        <f>K12/22</f>
        <v>0.22727272727272727</v>
      </c>
      <c r="L24" s="66">
        <f>L12/22</f>
        <v>0.31818181818181818</v>
      </c>
      <c r="M24" s="66">
        <f>M12/22</f>
        <v>0</v>
      </c>
      <c r="N24" s="66">
        <f>N12/22</f>
        <v>0.31818181818181818</v>
      </c>
      <c r="O24" s="66">
        <f>O12/22</f>
        <v>0.18181818181818182</v>
      </c>
      <c r="P24" s="66">
        <f>P12/22</f>
        <v>0.13636363636363635</v>
      </c>
      <c r="Q24" s="66">
        <f>Q12/22</f>
        <v>0.13636363636363635</v>
      </c>
      <c r="R24" s="66">
        <f>R12/22</f>
        <v>9.0909090909090912E-2</v>
      </c>
      <c r="S24" s="66">
        <f>S12/22</f>
        <v>4.5454545454545456E-2</v>
      </c>
      <c r="T24" s="66">
        <f>T12/22</f>
        <v>0.13636363636363635</v>
      </c>
      <c r="U24" s="66">
        <f>U12/22</f>
        <v>4.5454545454545456E-2</v>
      </c>
      <c r="V24" s="66">
        <f>V12/22</f>
        <v>4.5454545454545456E-2</v>
      </c>
      <c r="W24" s="66">
        <f>W12/22</f>
        <v>0.18181818181818182</v>
      </c>
      <c r="X24" s="66">
        <f>X12/22</f>
        <v>4.5454545454545456E-2</v>
      </c>
      <c r="Y24" s="66">
        <f>Y12/22</f>
        <v>4.5454545454545456E-2</v>
      </c>
      <c r="Z24" s="66">
        <f>Z12/22</f>
        <v>4.5454545454545456E-2</v>
      </c>
      <c r="AA24" s="66">
        <f>AA12/22</f>
        <v>0</v>
      </c>
      <c r="AB24" s="66">
        <f>AB12/22</f>
        <v>0</v>
      </c>
      <c r="AC24" s="66">
        <f>AC12/22</f>
        <v>0.18181818181818182</v>
      </c>
      <c r="AD24" s="66">
        <f>AD12/22</f>
        <v>4.5454545454545456E-2</v>
      </c>
      <c r="AE24" s="66">
        <f>AE12/22</f>
        <v>9.0909090909090912E-2</v>
      </c>
      <c r="AF24" s="66">
        <f>AF12/22</f>
        <v>9.0909090909090912E-2</v>
      </c>
      <c r="AG24" s="66">
        <f>AG12/22</f>
        <v>4.5454545454545456E-2</v>
      </c>
      <c r="AH24" s="66">
        <f>AH12/22</f>
        <v>0</v>
      </c>
      <c r="AI24" s="66">
        <f>AI12/22</f>
        <v>0.18181818181818182</v>
      </c>
      <c r="AJ24" s="66">
        <f>AJ12/22</f>
        <v>0</v>
      </c>
      <c r="AK24" s="66">
        <f>AK12/22</f>
        <v>0</v>
      </c>
      <c r="AL24" s="66">
        <f>AL12/22</f>
        <v>0</v>
      </c>
      <c r="AM24" s="66">
        <f>AM12/22</f>
        <v>0.22727272727272727</v>
      </c>
      <c r="AN24" s="66">
        <f>AN12/22</f>
        <v>9.0909090909090912E-2</v>
      </c>
      <c r="AO24" s="66">
        <f>AO12/22</f>
        <v>0</v>
      </c>
      <c r="AP24" s="66">
        <f>AP12/22</f>
        <v>0.72727272727272729</v>
      </c>
      <c r="AQ24" s="66">
        <f>AQ12/22</f>
        <v>4.5454545454545456E-2</v>
      </c>
      <c r="AR24" s="66">
        <f>AR12/22</f>
        <v>0.18181818181818182</v>
      </c>
      <c r="AS24" s="66">
        <f>AS12/22</f>
        <v>0.22727272727272727</v>
      </c>
      <c r="AT24" s="66">
        <f>AT12/22</f>
        <v>9.0909090909090912E-2</v>
      </c>
      <c r="AU24" s="66">
        <f>AU12/22</f>
        <v>0</v>
      </c>
      <c r="AV24" s="66">
        <f>AV12/22</f>
        <v>0.31818181818181818</v>
      </c>
      <c r="AW24" s="66">
        <f>AW12/22</f>
        <v>0</v>
      </c>
      <c r="AX24" s="66">
        <f>AX12/22</f>
        <v>4.5454545454545456E-2</v>
      </c>
      <c r="AY24" s="66">
        <f>AY12/22</f>
        <v>0.13636363636363635</v>
      </c>
      <c r="AZ24" s="66">
        <f>AZ12/22</f>
        <v>4.5454545454545456E-2</v>
      </c>
      <c r="BA24" s="66">
        <f>BA12/22</f>
        <v>9.0909090909090912E-2</v>
      </c>
      <c r="BB24" s="66">
        <f>BB12/22</f>
        <v>0.13636363636363635</v>
      </c>
      <c r="BC24" s="66">
        <f>BC12/22</f>
        <v>0</v>
      </c>
      <c r="BD24" s="66">
        <f>BD12/22</f>
        <v>9.0909090909090912E-2</v>
      </c>
      <c r="BE24" s="66">
        <f>BE12/22</f>
        <v>9.0909090909090912E-2</v>
      </c>
      <c r="BF24" s="66">
        <f>BF12/22</f>
        <v>0.22727272727272727</v>
      </c>
      <c r="BG24" s="66">
        <f>BG12/22</f>
        <v>4.5454545454545456E-2</v>
      </c>
      <c r="BH24" s="66">
        <f>BH12/22</f>
        <v>0.13636363636363635</v>
      </c>
      <c r="BI24" s="66">
        <f>BI12/22</f>
        <v>0</v>
      </c>
      <c r="BJ24" s="66">
        <f>BJ12/22</f>
        <v>0</v>
      </c>
      <c r="BK24" s="66">
        <f>BK12/22</f>
        <v>0.18181818181818182</v>
      </c>
      <c r="BL24" s="66">
        <f>BL12/22</f>
        <v>4.5454545454545456E-2</v>
      </c>
      <c r="BM24" s="66">
        <f>BM12/22</f>
        <v>4.5454545454545456E-2</v>
      </c>
      <c r="BN24" s="66">
        <f>BN12/22</f>
        <v>4.5454545454545456E-2</v>
      </c>
      <c r="BO24" s="66">
        <f>BO12/22</f>
        <v>9.0909090909090912E-2</v>
      </c>
      <c r="BP24" s="66">
        <f>BP12/22</f>
        <v>9.0909090909090912E-2</v>
      </c>
      <c r="BQ24" s="66">
        <f>BQ12/22</f>
        <v>0.13636363636363635</v>
      </c>
      <c r="BR24" s="66">
        <f>BR12/22</f>
        <v>4.5454545454545456E-2</v>
      </c>
      <c r="BS24" s="66">
        <f>BS12/22</f>
        <v>0</v>
      </c>
      <c r="BT24" s="66">
        <f>BT12/22</f>
        <v>0</v>
      </c>
      <c r="BU24" s="66">
        <f>BU12/22</f>
        <v>4.5454545454545456E-2</v>
      </c>
      <c r="BV24" s="66">
        <f>BV12/22</f>
        <v>0</v>
      </c>
      <c r="BW24" s="66">
        <f>BW12/22</f>
        <v>0</v>
      </c>
      <c r="BX24" s="66">
        <f>BX12/22</f>
        <v>0</v>
      </c>
      <c r="BY24" s="66">
        <f>BY12/22</f>
        <v>0</v>
      </c>
      <c r="BZ24" s="66">
        <f>BZ12/22</f>
        <v>0.27272727272727271</v>
      </c>
      <c r="CA24" s="66">
        <f>CA12/22</f>
        <v>9.0909090909090912E-2</v>
      </c>
      <c r="CB24" s="66">
        <f>CB12/22</f>
        <v>0.13636363636363635</v>
      </c>
      <c r="CC24" s="66">
        <f>CC12/22</f>
        <v>4.5454545454545456E-2</v>
      </c>
      <c r="CD24" s="66">
        <f>CD12/22</f>
        <v>4.5454545454545456E-2</v>
      </c>
      <c r="CE24" s="66">
        <f>CE12/22</f>
        <v>0</v>
      </c>
      <c r="CF24" s="66">
        <f>CF12/22</f>
        <v>9.0909090909090912E-2</v>
      </c>
      <c r="CG24" s="66">
        <f>CG12/22</f>
        <v>9.0909090909090912E-2</v>
      </c>
      <c r="CH24" s="66">
        <f>CH12/22</f>
        <v>0</v>
      </c>
      <c r="CI24" s="66">
        <f>CI12/22</f>
        <v>0</v>
      </c>
      <c r="CJ24" s="66">
        <f>CJ12/22</f>
        <v>9.0909090909090912E-2</v>
      </c>
      <c r="CK24" s="66">
        <f>CK12/22</f>
        <v>0</v>
      </c>
      <c r="CL24" s="66">
        <f>CL12/22</f>
        <v>0</v>
      </c>
      <c r="CM24" s="66">
        <f>CM12/22</f>
        <v>4.5454545454545456E-2</v>
      </c>
      <c r="CN24" s="66">
        <f>CN12/22</f>
        <v>0</v>
      </c>
      <c r="CO24" s="66">
        <f>CO12/22</f>
        <v>0.27272727272727271</v>
      </c>
      <c r="CP24" s="66">
        <f>CP12/22</f>
        <v>9.0909090909090912E-2</v>
      </c>
      <c r="CQ24" s="66">
        <f>CQ12/22</f>
        <v>9.0909090909090912E-2</v>
      </c>
      <c r="CR24" s="66">
        <f>CR12/22</f>
        <v>0</v>
      </c>
      <c r="CS24" s="66">
        <f>CS12/22</f>
        <v>4.5454545454545456E-2</v>
      </c>
      <c r="CU24" s="66">
        <f>AVERAGE(B24:CS24)</f>
        <v>8.8068181818181879E-2</v>
      </c>
      <c r="CV24" s="69"/>
      <c r="CW24" s="67"/>
    </row>
    <row r="25" spans="1:101" ht="13" x14ac:dyDescent="0.25">
      <c r="A25" s="65" t="s">
        <v>308</v>
      </c>
      <c r="B25" s="66">
        <f>B13/22</f>
        <v>0</v>
      </c>
      <c r="C25" s="66">
        <f>C13/22</f>
        <v>0</v>
      </c>
      <c r="D25" s="66">
        <f>D13/22</f>
        <v>9.0909090909090912E-2</v>
      </c>
      <c r="E25" s="66">
        <f>E13/22</f>
        <v>4.5454545454545456E-2</v>
      </c>
      <c r="F25" s="66">
        <f>F13/22</f>
        <v>0</v>
      </c>
      <c r="G25" s="66">
        <f>G13/22</f>
        <v>0</v>
      </c>
      <c r="H25" s="66">
        <f>H13/22</f>
        <v>4.5454545454545456E-2</v>
      </c>
      <c r="I25" s="66">
        <f>I13/22</f>
        <v>9.0909090909090912E-2</v>
      </c>
      <c r="J25" s="66">
        <f>J13/22</f>
        <v>0</v>
      </c>
      <c r="K25" s="66">
        <f>K13/22</f>
        <v>4.5454545454545456E-2</v>
      </c>
      <c r="L25" s="66">
        <f>L13/22</f>
        <v>4.5454545454545456E-2</v>
      </c>
      <c r="M25" s="66">
        <f>M13/22</f>
        <v>4.5454545454545456E-2</v>
      </c>
      <c r="N25" s="66">
        <f>N13/22</f>
        <v>4.5454545454545456E-2</v>
      </c>
      <c r="O25" s="66">
        <f>O13/22</f>
        <v>9.0909090909090912E-2</v>
      </c>
      <c r="P25" s="66">
        <f>P13/22</f>
        <v>4.5454545454545456E-2</v>
      </c>
      <c r="Q25" s="66">
        <f>Q13/22</f>
        <v>0.13636363636363635</v>
      </c>
      <c r="R25" s="66">
        <f>R13/22</f>
        <v>4.5454545454545456E-2</v>
      </c>
      <c r="S25" s="66">
        <f>S13/22</f>
        <v>0</v>
      </c>
      <c r="T25" s="66">
        <f>T13/22</f>
        <v>9.0909090909090912E-2</v>
      </c>
      <c r="U25" s="66">
        <f>U13/22</f>
        <v>0.13636363636363635</v>
      </c>
      <c r="V25" s="66">
        <f>V13/22</f>
        <v>9.0909090909090912E-2</v>
      </c>
      <c r="W25" s="66">
        <f>W13/22</f>
        <v>4.5454545454545456E-2</v>
      </c>
      <c r="X25" s="66">
        <f>X13/22</f>
        <v>0.13636363636363635</v>
      </c>
      <c r="Y25" s="66">
        <f>Y13/22</f>
        <v>0.13636363636363635</v>
      </c>
      <c r="Z25" s="66">
        <f>Z13/22</f>
        <v>0</v>
      </c>
      <c r="AA25" s="66">
        <f>AA13/22</f>
        <v>4.5454545454545456E-2</v>
      </c>
      <c r="AB25" s="66">
        <f>AB13/22</f>
        <v>0</v>
      </c>
      <c r="AC25" s="66">
        <f>AC13/22</f>
        <v>9.0909090909090912E-2</v>
      </c>
      <c r="AD25" s="66">
        <f>AD13/22</f>
        <v>0</v>
      </c>
      <c r="AE25" s="66">
        <f>AE13/22</f>
        <v>0</v>
      </c>
      <c r="AF25" s="66">
        <f>AF13/22</f>
        <v>0</v>
      </c>
      <c r="AG25" s="66">
        <f>AG13/22</f>
        <v>0</v>
      </c>
      <c r="AH25" s="66">
        <f>AH13/22</f>
        <v>0</v>
      </c>
      <c r="AI25" s="66">
        <f>AI13/22</f>
        <v>0.22727272727272727</v>
      </c>
      <c r="AJ25" s="66">
        <f>AJ13/22</f>
        <v>0</v>
      </c>
      <c r="AK25" s="66">
        <f>AK13/22</f>
        <v>0</v>
      </c>
      <c r="AL25" s="66">
        <f>AL13/22</f>
        <v>0</v>
      </c>
      <c r="AM25" s="66">
        <f>AM13/22</f>
        <v>0</v>
      </c>
      <c r="AN25" s="66">
        <f>AN13/22</f>
        <v>0.18181818181818182</v>
      </c>
      <c r="AO25" s="66">
        <f>AO13/22</f>
        <v>0</v>
      </c>
      <c r="AP25" s="66">
        <f>AP13/22</f>
        <v>0.40909090909090912</v>
      </c>
      <c r="AQ25" s="66">
        <f>AQ13/22</f>
        <v>4.5454545454545456E-2</v>
      </c>
      <c r="AR25" s="66">
        <f>AR13/22</f>
        <v>4.5454545454545456E-2</v>
      </c>
      <c r="AS25" s="66">
        <f>AS13/22</f>
        <v>9.0909090909090912E-2</v>
      </c>
      <c r="AT25" s="66">
        <f>AT13/22</f>
        <v>0</v>
      </c>
      <c r="AU25" s="66">
        <f>AU13/22</f>
        <v>0</v>
      </c>
      <c r="AV25" s="66">
        <f>AV13/22</f>
        <v>4.5454545454545456E-2</v>
      </c>
      <c r="AW25" s="66">
        <f>AW13/22</f>
        <v>0</v>
      </c>
      <c r="AX25" s="66">
        <f>AX13/22</f>
        <v>0</v>
      </c>
      <c r="AY25" s="66">
        <f>AY13/22</f>
        <v>0</v>
      </c>
      <c r="AZ25" s="66">
        <f>AZ13/22</f>
        <v>0.13636363636363635</v>
      </c>
      <c r="BA25" s="66">
        <f>BA13/22</f>
        <v>4.5454545454545456E-2</v>
      </c>
      <c r="BB25" s="66">
        <f>BB13/22</f>
        <v>0</v>
      </c>
      <c r="BC25" s="66">
        <f>BC13/22</f>
        <v>0</v>
      </c>
      <c r="BD25" s="66">
        <f>BD13/22</f>
        <v>9.0909090909090912E-2</v>
      </c>
      <c r="BE25" s="66">
        <f>BE13/22</f>
        <v>0</v>
      </c>
      <c r="BF25" s="66">
        <f>BF13/22</f>
        <v>4.5454545454545456E-2</v>
      </c>
      <c r="BG25" s="66">
        <f>BG13/22</f>
        <v>0.40909090909090912</v>
      </c>
      <c r="BH25" s="66">
        <f>BH13/22</f>
        <v>4.5454545454545456E-2</v>
      </c>
      <c r="BI25" s="66">
        <f>BI13/22</f>
        <v>0</v>
      </c>
      <c r="BJ25" s="66">
        <f>BJ13/22</f>
        <v>0.18181818181818182</v>
      </c>
      <c r="BK25" s="66">
        <f>BK13/22</f>
        <v>0.22727272727272727</v>
      </c>
      <c r="BL25" s="66">
        <f>BL13/22</f>
        <v>4.5454545454545456E-2</v>
      </c>
      <c r="BM25" s="66">
        <f>BM13/22</f>
        <v>0</v>
      </c>
      <c r="BN25" s="66">
        <f>BN13/22</f>
        <v>4.5454545454545456E-2</v>
      </c>
      <c r="BO25" s="66">
        <f>BO13/22</f>
        <v>0</v>
      </c>
      <c r="BP25" s="66">
        <f>BP13/22</f>
        <v>9.0909090909090912E-2</v>
      </c>
      <c r="BQ25" s="66">
        <f>BQ13/22</f>
        <v>9.0909090909090912E-2</v>
      </c>
      <c r="BR25" s="66">
        <f>BR13/22</f>
        <v>0.13636363636363635</v>
      </c>
      <c r="BS25" s="66">
        <f>BS13/22</f>
        <v>0</v>
      </c>
      <c r="BT25" s="66">
        <f>BT13/22</f>
        <v>0</v>
      </c>
      <c r="BU25" s="66">
        <f>BU13/22</f>
        <v>0</v>
      </c>
      <c r="BV25" s="66">
        <f>BV13/22</f>
        <v>0</v>
      </c>
      <c r="BW25" s="66">
        <f>BW13/22</f>
        <v>0</v>
      </c>
      <c r="BX25" s="66">
        <f>BX13/22</f>
        <v>0</v>
      </c>
      <c r="BY25" s="66">
        <f>BY13/22</f>
        <v>0</v>
      </c>
      <c r="BZ25" s="66">
        <f>BZ13/22</f>
        <v>0.18181818181818182</v>
      </c>
      <c r="CA25" s="66">
        <f>CA13/22</f>
        <v>9.0909090909090912E-2</v>
      </c>
      <c r="CB25" s="66">
        <f>CB13/22</f>
        <v>9.0909090909090912E-2</v>
      </c>
      <c r="CC25" s="66">
        <f>CC13/22</f>
        <v>9.0909090909090912E-2</v>
      </c>
      <c r="CD25" s="66">
        <f>CD13/22</f>
        <v>0</v>
      </c>
      <c r="CE25" s="66">
        <f>CE13/22</f>
        <v>0</v>
      </c>
      <c r="CF25" s="66">
        <f>CF13/22</f>
        <v>0</v>
      </c>
      <c r="CG25" s="66">
        <f>CG13/22</f>
        <v>0</v>
      </c>
      <c r="CH25" s="66">
        <f>CH13/22</f>
        <v>4.5454545454545456E-2</v>
      </c>
      <c r="CI25" s="66">
        <f>CI13/22</f>
        <v>4.5454545454545456E-2</v>
      </c>
      <c r="CJ25" s="66">
        <f>CJ13/22</f>
        <v>4.5454545454545456E-2</v>
      </c>
      <c r="CK25" s="66">
        <f>CK13/22</f>
        <v>0</v>
      </c>
      <c r="CL25" s="66">
        <f>CL13/22</f>
        <v>0</v>
      </c>
      <c r="CM25" s="66">
        <f>CM13/22</f>
        <v>4.5454545454545456E-2</v>
      </c>
      <c r="CN25" s="66">
        <f>CN13/22</f>
        <v>0</v>
      </c>
      <c r="CO25" s="66">
        <f>CO13/22</f>
        <v>9.0909090909090912E-2</v>
      </c>
      <c r="CP25" s="66">
        <f>CP13/22</f>
        <v>4.5454545454545456E-2</v>
      </c>
      <c r="CQ25" s="66">
        <f>CQ13/22</f>
        <v>0.13636363636363635</v>
      </c>
      <c r="CR25" s="66">
        <f>CR13/22</f>
        <v>0</v>
      </c>
      <c r="CS25" s="66">
        <f>CS13/22</f>
        <v>0.22727272727272727</v>
      </c>
      <c r="CU25" s="66">
        <f>AVERAGE(B25:CS25)</f>
        <v>5.5397727272727286E-2</v>
      </c>
      <c r="CV25" s="69"/>
      <c r="CW25" s="67"/>
    </row>
    <row r="26" spans="1:101" ht="7.5" customHeight="1" x14ac:dyDescent="0.25">
      <c r="A26" s="65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U26" s="66"/>
      <c r="CV26" s="69"/>
      <c r="CW26" s="67"/>
    </row>
    <row r="27" spans="1:101" ht="13" x14ac:dyDescent="0.25">
      <c r="A27" s="65" t="s">
        <v>292</v>
      </c>
      <c r="B27" s="8">
        <f>SUM(B2:B13)</f>
        <v>13</v>
      </c>
      <c r="C27" s="8">
        <f t="shared" ref="C27:BN27" si="3">SUM(C2:C13)</f>
        <v>11</v>
      </c>
      <c r="D27" s="8">
        <f t="shared" si="3"/>
        <v>48</v>
      </c>
      <c r="E27" s="8">
        <f t="shared" si="3"/>
        <v>2</v>
      </c>
      <c r="F27" s="8">
        <f t="shared" si="3"/>
        <v>22</v>
      </c>
      <c r="G27" s="8">
        <f t="shared" si="3"/>
        <v>28</v>
      </c>
      <c r="H27" s="8">
        <f t="shared" si="3"/>
        <v>12</v>
      </c>
      <c r="I27" s="8">
        <f t="shared" si="3"/>
        <v>21</v>
      </c>
      <c r="J27" s="8">
        <f t="shared" si="3"/>
        <v>28</v>
      </c>
      <c r="K27" s="8">
        <f t="shared" si="3"/>
        <v>41</v>
      </c>
      <c r="L27" s="8">
        <f t="shared" si="3"/>
        <v>39</v>
      </c>
      <c r="M27" s="8">
        <f t="shared" si="3"/>
        <v>35</v>
      </c>
      <c r="N27" s="8">
        <f t="shared" si="3"/>
        <v>95</v>
      </c>
      <c r="O27" s="8">
        <f t="shared" si="3"/>
        <v>28</v>
      </c>
      <c r="P27" s="8">
        <f t="shared" si="3"/>
        <v>28</v>
      </c>
      <c r="Q27" s="8">
        <f t="shared" si="3"/>
        <v>13</v>
      </c>
      <c r="R27" s="8">
        <f t="shared" si="3"/>
        <v>31</v>
      </c>
      <c r="S27" s="8">
        <f t="shared" si="3"/>
        <v>42</v>
      </c>
      <c r="T27" s="8">
        <f t="shared" si="3"/>
        <v>57</v>
      </c>
      <c r="U27" s="8">
        <f t="shared" si="3"/>
        <v>19</v>
      </c>
      <c r="V27" s="8">
        <f t="shared" si="3"/>
        <v>38</v>
      </c>
      <c r="W27" s="8">
        <f t="shared" si="3"/>
        <v>45</v>
      </c>
      <c r="X27" s="8">
        <f t="shared" si="3"/>
        <v>27</v>
      </c>
      <c r="Y27" s="8">
        <f t="shared" si="3"/>
        <v>8</v>
      </c>
      <c r="Z27" s="8">
        <f t="shared" si="3"/>
        <v>21</v>
      </c>
      <c r="AA27" s="8">
        <f t="shared" si="3"/>
        <v>18</v>
      </c>
      <c r="AB27" s="8">
        <f t="shared" si="3"/>
        <v>18</v>
      </c>
      <c r="AC27" s="8">
        <f t="shared" si="3"/>
        <v>35</v>
      </c>
      <c r="AD27" s="8">
        <f t="shared" si="3"/>
        <v>18</v>
      </c>
      <c r="AE27" s="8">
        <f t="shared" si="3"/>
        <v>14</v>
      </c>
      <c r="AF27" s="8">
        <f t="shared" si="3"/>
        <v>14</v>
      </c>
      <c r="AG27" s="8">
        <f t="shared" si="3"/>
        <v>11</v>
      </c>
      <c r="AH27" s="8">
        <f t="shared" si="3"/>
        <v>6</v>
      </c>
      <c r="AI27" s="8">
        <f t="shared" si="3"/>
        <v>12</v>
      </c>
      <c r="AJ27" s="8">
        <f t="shared" si="3"/>
        <v>23</v>
      </c>
      <c r="AK27" s="8">
        <f t="shared" si="3"/>
        <v>15</v>
      </c>
      <c r="AL27" s="8">
        <f t="shared" si="3"/>
        <v>13</v>
      </c>
      <c r="AM27" s="8">
        <f t="shared" si="3"/>
        <v>99</v>
      </c>
      <c r="AN27" s="8">
        <f t="shared" si="3"/>
        <v>36</v>
      </c>
      <c r="AO27" s="8">
        <f t="shared" si="3"/>
        <v>6</v>
      </c>
      <c r="AP27" s="8">
        <f t="shared" si="3"/>
        <v>94</v>
      </c>
      <c r="AQ27" s="8">
        <f t="shared" si="3"/>
        <v>19</v>
      </c>
      <c r="AR27" s="8">
        <f t="shared" si="3"/>
        <v>38</v>
      </c>
      <c r="AS27" s="8">
        <f t="shared" si="3"/>
        <v>28</v>
      </c>
      <c r="AT27" s="8">
        <f t="shared" si="3"/>
        <v>15</v>
      </c>
      <c r="AU27" s="8">
        <f t="shared" si="3"/>
        <v>7</v>
      </c>
      <c r="AV27" s="8">
        <f t="shared" si="3"/>
        <v>8</v>
      </c>
      <c r="AW27" s="8">
        <f t="shared" si="3"/>
        <v>7</v>
      </c>
      <c r="AX27" s="8">
        <f t="shared" si="3"/>
        <v>8</v>
      </c>
      <c r="AY27" s="8">
        <f t="shared" si="3"/>
        <v>30</v>
      </c>
      <c r="AZ27" s="8">
        <f t="shared" si="3"/>
        <v>19</v>
      </c>
      <c r="BA27" s="8">
        <f t="shared" si="3"/>
        <v>38</v>
      </c>
      <c r="BB27" s="8">
        <f t="shared" si="3"/>
        <v>31</v>
      </c>
      <c r="BC27" s="8">
        <f t="shared" si="3"/>
        <v>0</v>
      </c>
      <c r="BD27" s="8">
        <f t="shared" si="3"/>
        <v>42</v>
      </c>
      <c r="BE27" s="8">
        <f t="shared" si="3"/>
        <v>29</v>
      </c>
      <c r="BF27" s="8">
        <f t="shared" si="3"/>
        <v>9</v>
      </c>
      <c r="BG27" s="8">
        <f t="shared" si="3"/>
        <v>33</v>
      </c>
      <c r="BH27" s="8">
        <f t="shared" si="3"/>
        <v>14</v>
      </c>
      <c r="BI27" s="8">
        <f t="shared" si="3"/>
        <v>15</v>
      </c>
      <c r="BJ27" s="8">
        <f t="shared" si="3"/>
        <v>41</v>
      </c>
      <c r="BK27" s="8">
        <f t="shared" si="3"/>
        <v>23</v>
      </c>
      <c r="BL27" s="8">
        <f t="shared" si="3"/>
        <v>29</v>
      </c>
      <c r="BM27" s="8">
        <f t="shared" si="3"/>
        <v>5</v>
      </c>
      <c r="BN27" s="8">
        <f t="shared" si="3"/>
        <v>19</v>
      </c>
      <c r="BO27" s="8">
        <f t="shared" ref="BO27:CS27" si="4">SUM(BO2:BO13)</f>
        <v>18</v>
      </c>
      <c r="BP27" s="8">
        <f t="shared" si="4"/>
        <v>18</v>
      </c>
      <c r="BQ27" s="8">
        <f t="shared" si="4"/>
        <v>18</v>
      </c>
      <c r="BR27" s="8">
        <f t="shared" si="4"/>
        <v>17</v>
      </c>
      <c r="BS27" s="8">
        <f t="shared" si="4"/>
        <v>14</v>
      </c>
      <c r="BT27" s="8">
        <f t="shared" si="4"/>
        <v>4</v>
      </c>
      <c r="BU27" s="8">
        <f t="shared" si="4"/>
        <v>18</v>
      </c>
      <c r="BV27" s="8">
        <f t="shared" si="4"/>
        <v>19</v>
      </c>
      <c r="BW27" s="8">
        <f t="shared" si="4"/>
        <v>19</v>
      </c>
      <c r="BX27" s="8">
        <f t="shared" si="4"/>
        <v>17</v>
      </c>
      <c r="BY27" s="8">
        <f t="shared" si="4"/>
        <v>18</v>
      </c>
      <c r="BZ27" s="8">
        <f t="shared" si="4"/>
        <v>28</v>
      </c>
      <c r="CA27" s="8">
        <f t="shared" si="4"/>
        <v>12</v>
      </c>
      <c r="CB27" s="8">
        <f t="shared" si="4"/>
        <v>5</v>
      </c>
      <c r="CC27" s="8">
        <f t="shared" si="4"/>
        <v>20</v>
      </c>
      <c r="CD27" s="8">
        <f t="shared" si="4"/>
        <v>12</v>
      </c>
      <c r="CE27" s="8">
        <f t="shared" si="4"/>
        <v>13</v>
      </c>
      <c r="CF27" s="8">
        <f t="shared" si="4"/>
        <v>30</v>
      </c>
      <c r="CG27" s="8">
        <f t="shared" si="4"/>
        <v>8</v>
      </c>
      <c r="CH27" s="8">
        <f t="shared" si="4"/>
        <v>4</v>
      </c>
      <c r="CI27" s="8">
        <f t="shared" si="4"/>
        <v>2</v>
      </c>
      <c r="CJ27" s="8">
        <f t="shared" si="4"/>
        <v>26</v>
      </c>
      <c r="CK27" s="8">
        <f t="shared" si="4"/>
        <v>14</v>
      </c>
      <c r="CL27" s="8">
        <f t="shared" si="4"/>
        <v>16</v>
      </c>
      <c r="CM27" s="8">
        <f t="shared" si="4"/>
        <v>27</v>
      </c>
      <c r="CN27" s="8">
        <f t="shared" si="4"/>
        <v>3</v>
      </c>
      <c r="CO27" s="8">
        <f t="shared" si="4"/>
        <v>70</v>
      </c>
      <c r="CP27" s="8">
        <f t="shared" si="4"/>
        <v>20</v>
      </c>
      <c r="CQ27" s="8">
        <f t="shared" si="4"/>
        <v>5</v>
      </c>
      <c r="CR27" s="8">
        <f t="shared" si="4"/>
        <v>13</v>
      </c>
      <c r="CS27" s="8">
        <f t="shared" si="4"/>
        <v>13</v>
      </c>
      <c r="CU27" s="67">
        <f>AVERAGE(B27:CS27)</f>
        <v>23.041666666666668</v>
      </c>
      <c r="CV27" s="67">
        <f>_xlfn.STDEV.S(B27:CS27)</f>
        <v>18.331977621325308</v>
      </c>
      <c r="CW27" s="67">
        <f t="shared" si="2"/>
        <v>0.7956011987555287</v>
      </c>
    </row>
    <row r="28" spans="1:101" ht="13" x14ac:dyDescent="0.25">
      <c r="A28" s="65" t="s">
        <v>293</v>
      </c>
      <c r="B28" s="66">
        <f>B27/260</f>
        <v>0.05</v>
      </c>
      <c r="C28" s="66">
        <f>C27/260</f>
        <v>4.230769230769231E-2</v>
      </c>
      <c r="D28" s="66">
        <f>D27/260</f>
        <v>0.18461538461538463</v>
      </c>
      <c r="E28" s="66">
        <f>E27/260</f>
        <v>7.6923076923076927E-3</v>
      </c>
      <c r="F28" s="66">
        <f>F27/260</f>
        <v>8.461538461538462E-2</v>
      </c>
      <c r="G28" s="66">
        <f>G27/260</f>
        <v>0.1076923076923077</v>
      </c>
      <c r="H28" s="66">
        <f>H27/260</f>
        <v>4.6153846153846156E-2</v>
      </c>
      <c r="I28" s="66">
        <f>I27/260</f>
        <v>8.0769230769230774E-2</v>
      </c>
      <c r="J28" s="66">
        <f>J27/260</f>
        <v>0.1076923076923077</v>
      </c>
      <c r="K28" s="66">
        <f>K27/260</f>
        <v>0.15769230769230769</v>
      </c>
      <c r="L28" s="66">
        <f>L27/260</f>
        <v>0.15</v>
      </c>
      <c r="M28" s="66">
        <f>M27/260</f>
        <v>0.13461538461538461</v>
      </c>
      <c r="N28" s="66">
        <f>N27/260</f>
        <v>0.36538461538461536</v>
      </c>
      <c r="O28" s="66">
        <f>O27/260</f>
        <v>0.1076923076923077</v>
      </c>
      <c r="P28" s="66">
        <f>P27/260</f>
        <v>0.1076923076923077</v>
      </c>
      <c r="Q28" s="66">
        <f>Q27/260</f>
        <v>0.05</v>
      </c>
      <c r="R28" s="66">
        <f>R27/260</f>
        <v>0.11923076923076924</v>
      </c>
      <c r="S28" s="66">
        <f>S27/260</f>
        <v>0.16153846153846155</v>
      </c>
      <c r="T28" s="66">
        <f>T27/260</f>
        <v>0.21923076923076923</v>
      </c>
      <c r="U28" s="66">
        <f>U27/260</f>
        <v>7.3076923076923081E-2</v>
      </c>
      <c r="V28" s="66">
        <f>V27/260</f>
        <v>0.14615384615384616</v>
      </c>
      <c r="W28" s="66">
        <f>W27/260</f>
        <v>0.17307692307692307</v>
      </c>
      <c r="X28" s="66">
        <f>X27/260</f>
        <v>0.10384615384615385</v>
      </c>
      <c r="Y28" s="66">
        <f>Y27/260</f>
        <v>3.0769230769230771E-2</v>
      </c>
      <c r="Z28" s="66">
        <f>Z27/260</f>
        <v>8.0769230769230774E-2</v>
      </c>
      <c r="AA28" s="66">
        <f>AA27/260</f>
        <v>6.9230769230769235E-2</v>
      </c>
      <c r="AB28" s="66">
        <f>AB27/260</f>
        <v>6.9230769230769235E-2</v>
      </c>
      <c r="AC28" s="66">
        <f>AC27/260</f>
        <v>0.13461538461538461</v>
      </c>
      <c r="AD28" s="66">
        <f>AD27/260</f>
        <v>6.9230769230769235E-2</v>
      </c>
      <c r="AE28" s="66">
        <f>AE27/260</f>
        <v>5.3846153846153849E-2</v>
      </c>
      <c r="AF28" s="66">
        <f>AF27/260</f>
        <v>5.3846153846153849E-2</v>
      </c>
      <c r="AG28" s="66">
        <f>AG27/260</f>
        <v>4.230769230769231E-2</v>
      </c>
      <c r="AH28" s="66">
        <f>AH27/260</f>
        <v>2.3076923076923078E-2</v>
      </c>
      <c r="AI28" s="66">
        <f>AI27/260</f>
        <v>4.6153846153846156E-2</v>
      </c>
      <c r="AJ28" s="66">
        <f>AJ27/260</f>
        <v>8.8461538461538466E-2</v>
      </c>
      <c r="AK28" s="66">
        <f>AK27/260</f>
        <v>5.7692307692307696E-2</v>
      </c>
      <c r="AL28" s="66">
        <f>AL27/260</f>
        <v>0.05</v>
      </c>
      <c r="AM28" s="66">
        <f>AM27/260</f>
        <v>0.38076923076923075</v>
      </c>
      <c r="AN28" s="66">
        <f>AN27/260</f>
        <v>0.13846153846153847</v>
      </c>
      <c r="AO28" s="66">
        <f>AO27/260</f>
        <v>2.3076923076923078E-2</v>
      </c>
      <c r="AP28" s="66">
        <f>AP27/260</f>
        <v>0.36153846153846153</v>
      </c>
      <c r="AQ28" s="66">
        <f>AQ27/260</f>
        <v>7.3076923076923081E-2</v>
      </c>
      <c r="AR28" s="66">
        <f>AR27/260</f>
        <v>0.14615384615384616</v>
      </c>
      <c r="AS28" s="66">
        <f>AS27/260</f>
        <v>0.1076923076923077</v>
      </c>
      <c r="AT28" s="66">
        <f>AT27/260</f>
        <v>5.7692307692307696E-2</v>
      </c>
      <c r="AU28" s="66">
        <f>AU27/260</f>
        <v>2.6923076923076925E-2</v>
      </c>
      <c r="AV28" s="66">
        <f>AV27/260</f>
        <v>3.0769230769230771E-2</v>
      </c>
      <c r="AW28" s="66">
        <f>AW27/260</f>
        <v>2.6923076923076925E-2</v>
      </c>
      <c r="AX28" s="66">
        <f>AX27/260</f>
        <v>3.0769230769230771E-2</v>
      </c>
      <c r="AY28" s="66">
        <f>AY27/260</f>
        <v>0.11538461538461539</v>
      </c>
      <c r="AZ28" s="66">
        <f>AZ27/260</f>
        <v>7.3076923076923081E-2</v>
      </c>
      <c r="BA28" s="66">
        <f>BA27/260</f>
        <v>0.14615384615384616</v>
      </c>
      <c r="BB28" s="66">
        <f>BB27/260</f>
        <v>0.11923076923076924</v>
      </c>
      <c r="BC28" s="66">
        <f>BC27/260</f>
        <v>0</v>
      </c>
      <c r="BD28" s="66">
        <f>BD27/260</f>
        <v>0.16153846153846155</v>
      </c>
      <c r="BE28" s="66">
        <f>BE27/260</f>
        <v>0.11153846153846154</v>
      </c>
      <c r="BF28" s="66">
        <f>BF27/260</f>
        <v>3.4615384615384617E-2</v>
      </c>
      <c r="BG28" s="66">
        <f>BG27/260</f>
        <v>0.12692307692307692</v>
      </c>
      <c r="BH28" s="66">
        <f>BH27/260</f>
        <v>5.3846153846153849E-2</v>
      </c>
      <c r="BI28" s="66">
        <f>BI27/260</f>
        <v>5.7692307692307696E-2</v>
      </c>
      <c r="BJ28" s="66">
        <f>BJ27/260</f>
        <v>0.15769230769230769</v>
      </c>
      <c r="BK28" s="66">
        <f>BK27/260</f>
        <v>8.8461538461538466E-2</v>
      </c>
      <c r="BL28" s="66">
        <f>BL27/260</f>
        <v>0.11153846153846154</v>
      </c>
      <c r="BM28" s="66">
        <f>BM27/260</f>
        <v>1.9230769230769232E-2</v>
      </c>
      <c r="BN28" s="66">
        <f>BN27/260</f>
        <v>7.3076923076923081E-2</v>
      </c>
      <c r="BO28" s="66">
        <f>BO27/260</f>
        <v>6.9230769230769235E-2</v>
      </c>
      <c r="BP28" s="66">
        <f>BP27/260</f>
        <v>6.9230769230769235E-2</v>
      </c>
      <c r="BQ28" s="66">
        <f>BQ27/260</f>
        <v>6.9230769230769235E-2</v>
      </c>
      <c r="BR28" s="66">
        <f>BR27/260</f>
        <v>6.5384615384615388E-2</v>
      </c>
      <c r="BS28" s="66">
        <f>BS27/260</f>
        <v>5.3846153846153849E-2</v>
      </c>
      <c r="BT28" s="66">
        <f>BT27/260</f>
        <v>1.5384615384615385E-2</v>
      </c>
      <c r="BU28" s="66">
        <f>BU27/260</f>
        <v>6.9230769230769235E-2</v>
      </c>
      <c r="BV28" s="66">
        <f>BV27/260</f>
        <v>7.3076923076923081E-2</v>
      </c>
      <c r="BW28" s="66">
        <f>BW27/260</f>
        <v>7.3076923076923081E-2</v>
      </c>
      <c r="BX28" s="66">
        <f>BX27/260</f>
        <v>6.5384615384615388E-2</v>
      </c>
      <c r="BY28" s="66">
        <f>BY27/260</f>
        <v>6.9230769230769235E-2</v>
      </c>
      <c r="BZ28" s="66">
        <f>BZ27/260</f>
        <v>0.1076923076923077</v>
      </c>
      <c r="CA28" s="66">
        <f>CA27/260</f>
        <v>4.6153846153846156E-2</v>
      </c>
      <c r="CB28" s="66">
        <f>CB27/260</f>
        <v>1.9230769230769232E-2</v>
      </c>
      <c r="CC28" s="66">
        <f>CC27/260</f>
        <v>7.6923076923076927E-2</v>
      </c>
      <c r="CD28" s="66">
        <f>CD27/260</f>
        <v>4.6153846153846156E-2</v>
      </c>
      <c r="CE28" s="66">
        <f>CE27/260</f>
        <v>0.05</v>
      </c>
      <c r="CF28" s="66">
        <f>CF27/260</f>
        <v>0.11538461538461539</v>
      </c>
      <c r="CG28" s="66">
        <f>CG27/260</f>
        <v>3.0769230769230771E-2</v>
      </c>
      <c r="CH28" s="66">
        <f>CH27/260</f>
        <v>1.5384615384615385E-2</v>
      </c>
      <c r="CI28" s="66">
        <f>CI27/260</f>
        <v>7.6923076923076927E-3</v>
      </c>
      <c r="CJ28" s="66">
        <f>CJ27/260</f>
        <v>0.1</v>
      </c>
      <c r="CK28" s="66">
        <f>CK27/260</f>
        <v>5.3846153846153849E-2</v>
      </c>
      <c r="CL28" s="66">
        <f>CL27/260</f>
        <v>6.1538461538461542E-2</v>
      </c>
      <c r="CM28" s="66">
        <f>CM27/260</f>
        <v>0.10384615384615385</v>
      </c>
      <c r="CN28" s="66">
        <f>CN27/260</f>
        <v>1.1538461538461539E-2</v>
      </c>
      <c r="CO28" s="66">
        <f>CO27/260</f>
        <v>0.26923076923076922</v>
      </c>
      <c r="CP28" s="66">
        <f>CP27/260</f>
        <v>7.6923076923076927E-2</v>
      </c>
      <c r="CQ28" s="66">
        <f>CQ27/260</f>
        <v>1.9230769230769232E-2</v>
      </c>
      <c r="CR28" s="66">
        <f>CR27/260</f>
        <v>0.05</v>
      </c>
      <c r="CS28" s="66">
        <f>CS27/260</f>
        <v>0.05</v>
      </c>
      <c r="CU28" s="66">
        <f>AVERAGE(B28:CS28)</f>
        <v>8.8621794871794821E-2</v>
      </c>
    </row>
    <row r="29" spans="1:101" ht="13" x14ac:dyDescent="0.25">
      <c r="A29" s="65" t="s">
        <v>294</v>
      </c>
      <c r="B29" s="66">
        <f>1-B28</f>
        <v>0.95</v>
      </c>
      <c r="C29" s="66">
        <f>1-C28</f>
        <v>0.95769230769230773</v>
      </c>
      <c r="D29" s="66">
        <f>1-D28</f>
        <v>0.81538461538461537</v>
      </c>
      <c r="E29" s="66">
        <f>1-E28</f>
        <v>0.99230769230769234</v>
      </c>
      <c r="F29" s="66">
        <f>1-F28</f>
        <v>0.91538461538461535</v>
      </c>
      <c r="G29" s="66">
        <f>1-G28</f>
        <v>0.89230769230769225</v>
      </c>
      <c r="H29" s="66">
        <f>1-H28</f>
        <v>0.95384615384615379</v>
      </c>
      <c r="I29" s="66">
        <f>1-I28</f>
        <v>0.91923076923076918</v>
      </c>
      <c r="J29" s="66">
        <f>1-J28</f>
        <v>0.89230769230769225</v>
      </c>
      <c r="K29" s="66">
        <f>1-K28</f>
        <v>0.84230769230769231</v>
      </c>
      <c r="L29" s="66">
        <f>1-L28</f>
        <v>0.85</v>
      </c>
      <c r="M29" s="66">
        <f>1-M28</f>
        <v>0.86538461538461542</v>
      </c>
      <c r="N29" s="66">
        <f>1-N28</f>
        <v>0.63461538461538458</v>
      </c>
      <c r="O29" s="66">
        <f>1-O28</f>
        <v>0.89230769230769225</v>
      </c>
      <c r="P29" s="66">
        <f>1-P28</f>
        <v>0.89230769230769225</v>
      </c>
      <c r="Q29" s="66">
        <f>1-Q28</f>
        <v>0.95</v>
      </c>
      <c r="R29" s="66">
        <f>1-R28</f>
        <v>0.88076923076923075</v>
      </c>
      <c r="S29" s="66">
        <f>1-S28</f>
        <v>0.83846153846153848</v>
      </c>
      <c r="T29" s="66">
        <f>1-T28</f>
        <v>0.78076923076923077</v>
      </c>
      <c r="U29" s="66">
        <f>1-U28</f>
        <v>0.92692307692307696</v>
      </c>
      <c r="V29" s="66">
        <f>1-V28</f>
        <v>0.85384615384615381</v>
      </c>
      <c r="W29" s="66">
        <f>1-W28</f>
        <v>0.82692307692307687</v>
      </c>
      <c r="X29" s="66">
        <f>1-X28</f>
        <v>0.89615384615384619</v>
      </c>
      <c r="Y29" s="66">
        <f>1-Y28</f>
        <v>0.96923076923076923</v>
      </c>
      <c r="Z29" s="66">
        <f>1-Z28</f>
        <v>0.91923076923076918</v>
      </c>
      <c r="AA29" s="66">
        <f>1-AA28</f>
        <v>0.93076923076923079</v>
      </c>
      <c r="AB29" s="66">
        <f>1-AB28</f>
        <v>0.93076923076923079</v>
      </c>
      <c r="AC29" s="66">
        <f>1-AC28</f>
        <v>0.86538461538461542</v>
      </c>
      <c r="AD29" s="66">
        <f>1-AD28</f>
        <v>0.93076923076923079</v>
      </c>
      <c r="AE29" s="66">
        <f>1-AE28</f>
        <v>0.94615384615384612</v>
      </c>
      <c r="AF29" s="66">
        <f>1-AF28</f>
        <v>0.94615384615384612</v>
      </c>
      <c r="AG29" s="66">
        <f>1-AG28</f>
        <v>0.95769230769230773</v>
      </c>
      <c r="AH29" s="66">
        <f>1-AH28</f>
        <v>0.97692307692307689</v>
      </c>
      <c r="AI29" s="66">
        <f>1-AI28</f>
        <v>0.95384615384615379</v>
      </c>
      <c r="AJ29" s="66">
        <f>1-AJ28</f>
        <v>0.91153846153846152</v>
      </c>
      <c r="AK29" s="66">
        <f>1-AK28</f>
        <v>0.94230769230769229</v>
      </c>
      <c r="AL29" s="66">
        <f>1-AL28</f>
        <v>0.95</v>
      </c>
      <c r="AM29" s="66">
        <f>1-AM28</f>
        <v>0.61923076923076925</v>
      </c>
      <c r="AN29" s="66">
        <f>1-AN28</f>
        <v>0.86153846153846159</v>
      </c>
      <c r="AO29" s="66">
        <f>1-AO28</f>
        <v>0.97692307692307689</v>
      </c>
      <c r="AP29" s="66">
        <f>1-AP28</f>
        <v>0.63846153846153841</v>
      </c>
      <c r="AQ29" s="66">
        <f>1-AQ28</f>
        <v>0.92692307692307696</v>
      </c>
      <c r="AR29" s="66">
        <f>1-AR28</f>
        <v>0.85384615384615381</v>
      </c>
      <c r="AS29" s="66">
        <f>1-AS28</f>
        <v>0.89230769230769225</v>
      </c>
      <c r="AT29" s="66">
        <f>1-AT28</f>
        <v>0.94230769230769229</v>
      </c>
      <c r="AU29" s="66">
        <f>1-AU28</f>
        <v>0.97307692307692306</v>
      </c>
      <c r="AV29" s="66">
        <f>1-AV28</f>
        <v>0.96923076923076923</v>
      </c>
      <c r="AW29" s="66">
        <f>1-AW28</f>
        <v>0.97307692307692306</v>
      </c>
      <c r="AX29" s="66">
        <f>1-AX28</f>
        <v>0.96923076923076923</v>
      </c>
      <c r="AY29" s="66">
        <f>1-AY28</f>
        <v>0.88461538461538458</v>
      </c>
      <c r="AZ29" s="66">
        <f>1-AZ28</f>
        <v>0.92692307692307696</v>
      </c>
      <c r="BA29" s="66">
        <f>1-BA28</f>
        <v>0.85384615384615381</v>
      </c>
      <c r="BB29" s="66">
        <f>1-BB28</f>
        <v>0.88076923076923075</v>
      </c>
      <c r="BC29" s="66">
        <f>1-BC28</f>
        <v>1</v>
      </c>
      <c r="BD29" s="66">
        <f>1-BD28</f>
        <v>0.83846153846153848</v>
      </c>
      <c r="BE29" s="66">
        <f>1-BE28</f>
        <v>0.88846153846153841</v>
      </c>
      <c r="BF29" s="66">
        <f>1-BF28</f>
        <v>0.9653846153846154</v>
      </c>
      <c r="BG29" s="66">
        <f>1-BG28</f>
        <v>0.87307692307692308</v>
      </c>
      <c r="BH29" s="66">
        <f>1-BH28</f>
        <v>0.94615384615384612</v>
      </c>
      <c r="BI29" s="66">
        <f>1-BI28</f>
        <v>0.94230769230769229</v>
      </c>
      <c r="BJ29" s="66">
        <f>1-BJ28</f>
        <v>0.84230769230769231</v>
      </c>
      <c r="BK29" s="66">
        <f>1-BK28</f>
        <v>0.91153846153846152</v>
      </c>
      <c r="BL29" s="66">
        <f>1-BL28</f>
        <v>0.88846153846153841</v>
      </c>
      <c r="BM29" s="66">
        <f>1-BM28</f>
        <v>0.98076923076923073</v>
      </c>
      <c r="BN29" s="66">
        <f>1-BN28</f>
        <v>0.92692307692307696</v>
      </c>
      <c r="BO29" s="66">
        <f>1-BO28</f>
        <v>0.93076923076923079</v>
      </c>
      <c r="BP29" s="66">
        <f>1-BP28</f>
        <v>0.93076923076923079</v>
      </c>
      <c r="BQ29" s="66">
        <f>1-BQ28</f>
        <v>0.93076923076923079</v>
      </c>
      <c r="BR29" s="66">
        <f>1-BR28</f>
        <v>0.93461538461538463</v>
      </c>
      <c r="BS29" s="66">
        <f>1-BS28</f>
        <v>0.94615384615384612</v>
      </c>
      <c r="BT29" s="66">
        <f>1-BT28</f>
        <v>0.98461538461538467</v>
      </c>
      <c r="BU29" s="66">
        <f>1-BU28</f>
        <v>0.93076923076923079</v>
      </c>
      <c r="BV29" s="66">
        <f>1-BV28</f>
        <v>0.92692307692307696</v>
      </c>
      <c r="BW29" s="66">
        <f>1-BW28</f>
        <v>0.92692307692307696</v>
      </c>
      <c r="BX29" s="66">
        <f>1-BX28</f>
        <v>0.93461538461538463</v>
      </c>
      <c r="BY29" s="66">
        <f>1-BY28</f>
        <v>0.93076923076923079</v>
      </c>
      <c r="BZ29" s="66">
        <f>1-BZ28</f>
        <v>0.89230769230769225</v>
      </c>
      <c r="CA29" s="66">
        <f>1-CA28</f>
        <v>0.95384615384615379</v>
      </c>
      <c r="CB29" s="66">
        <f>1-CB28</f>
        <v>0.98076923076923073</v>
      </c>
      <c r="CC29" s="66">
        <f>1-CC28</f>
        <v>0.92307692307692313</v>
      </c>
      <c r="CD29" s="66">
        <f>1-CD28</f>
        <v>0.95384615384615379</v>
      </c>
      <c r="CE29" s="66">
        <f>1-CE28</f>
        <v>0.95</v>
      </c>
      <c r="CF29" s="66">
        <f>1-CF28</f>
        <v>0.88461538461538458</v>
      </c>
      <c r="CG29" s="66">
        <f>1-CG28</f>
        <v>0.96923076923076923</v>
      </c>
      <c r="CH29" s="66">
        <f>1-CH28</f>
        <v>0.98461538461538467</v>
      </c>
      <c r="CI29" s="66">
        <f>1-CI28</f>
        <v>0.99230769230769234</v>
      </c>
      <c r="CJ29" s="66">
        <f>1-CJ28</f>
        <v>0.9</v>
      </c>
      <c r="CK29" s="66">
        <f>1-CK28</f>
        <v>0.94615384615384612</v>
      </c>
      <c r="CL29" s="66">
        <f>1-CL28</f>
        <v>0.93846153846153846</v>
      </c>
      <c r="CM29" s="66">
        <f>1-CM28</f>
        <v>0.89615384615384619</v>
      </c>
      <c r="CN29" s="66">
        <f>1-CN28</f>
        <v>0.9884615384615385</v>
      </c>
      <c r="CO29" s="66">
        <f>1-CO28</f>
        <v>0.73076923076923084</v>
      </c>
      <c r="CP29" s="66">
        <f>1-CP28</f>
        <v>0.92307692307692313</v>
      </c>
      <c r="CQ29" s="66">
        <f>1-CQ28</f>
        <v>0.98076923076923073</v>
      </c>
      <c r="CR29" s="66">
        <f>1-CR28</f>
        <v>0.95</v>
      </c>
      <c r="CS29" s="66">
        <f>1-CS28</f>
        <v>0.95</v>
      </c>
      <c r="CU29" s="68">
        <f>1-CU28</f>
        <v>0.91137820512820522</v>
      </c>
    </row>
  </sheetData>
  <conditionalFormatting sqref="B28:CS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ignoredErrors>
    <ignoredError sqref="B23:CS2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F34"/>
  <sheetViews>
    <sheetView zoomScale="85" zoomScaleNormal="85" workbookViewId="0"/>
  </sheetViews>
  <sheetFormatPr defaultRowHeight="12.5" x14ac:dyDescent="0.25"/>
  <cols>
    <col min="1" max="1" width="7.81640625" style="1" customWidth="1"/>
    <col min="2" max="21" width="4" customWidth="1"/>
    <col min="22" max="23" width="4.453125" bestFit="1" customWidth="1"/>
    <col min="24" max="32" width="4" customWidth="1"/>
  </cols>
  <sheetData>
    <row r="1" spans="1:32" ht="19.5" customHeight="1" x14ac:dyDescent="0.4">
      <c r="V1" s="58">
        <v>2022</v>
      </c>
      <c r="W1" s="58"/>
      <c r="AF1" s="2" t="s">
        <v>20</v>
      </c>
    </row>
    <row r="2" spans="1:32" ht="18" x14ac:dyDescent="0.4">
      <c r="AF2" s="2" t="s">
        <v>0</v>
      </c>
    </row>
    <row r="3" spans="1:32" ht="13" x14ac:dyDescent="0.3">
      <c r="A3" s="3" t="s">
        <v>1</v>
      </c>
      <c r="D3" s="4"/>
      <c r="E3" s="4"/>
      <c r="F3" s="4"/>
      <c r="G3" s="4"/>
      <c r="H3" s="4"/>
      <c r="I3" s="4"/>
      <c r="J3" s="4"/>
      <c r="L3" t="s">
        <v>2</v>
      </c>
      <c r="O3" s="4"/>
      <c r="P3" s="4"/>
      <c r="Q3" s="4"/>
      <c r="R3" s="4"/>
      <c r="U3" s="18"/>
    </row>
    <row r="4" spans="1:32" x14ac:dyDescent="0.25">
      <c r="A4"/>
    </row>
    <row r="5" spans="1:32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2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2" ht="20.149999999999999" customHeight="1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2" s="16" customFormat="1" ht="20.149999999999999" customHeight="1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</row>
    <row r="9" spans="1:32" s="16" customFormat="1" ht="20.149999999999999" customHeight="1" x14ac:dyDescent="0.25">
      <c r="A9" s="19" t="s">
        <v>4</v>
      </c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</row>
    <row r="10" spans="1:32" s="16" customFormat="1" ht="20.149999999999999" customHeight="1" x14ac:dyDescent="0.25">
      <c r="A10" s="19" t="s">
        <v>5</v>
      </c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</row>
    <row r="11" spans="1:32" s="16" customFormat="1" ht="20.149999999999999" customHeight="1" x14ac:dyDescent="0.25">
      <c r="A11" s="19" t="s">
        <v>6</v>
      </c>
      <c r="C11" s="10"/>
      <c r="D11" s="10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</row>
    <row r="12" spans="1:32" s="16" customFormat="1" ht="20.149999999999999" customHeight="1" x14ac:dyDescent="0.25">
      <c r="A12" s="19" t="s">
        <v>7</v>
      </c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</row>
    <row r="13" spans="1:32" s="16" customFormat="1" ht="20.149999999999999" customHeight="1" x14ac:dyDescent="0.25">
      <c r="A13" s="19" t="s">
        <v>8</v>
      </c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</row>
    <row r="14" spans="1:32" s="16" customFormat="1" ht="20.149999999999999" customHeight="1" x14ac:dyDescent="0.25">
      <c r="A14" s="19" t="s">
        <v>9</v>
      </c>
      <c r="C14" s="10"/>
      <c r="D14" s="10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</row>
    <row r="15" spans="1:32" s="16" customFormat="1" ht="20.149999999999999" customHeight="1" x14ac:dyDescent="0.25">
      <c r="A15" s="19" t="s">
        <v>10</v>
      </c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</row>
    <row r="16" spans="1:32" s="16" customFormat="1" ht="20.149999999999999" customHeight="1" x14ac:dyDescent="0.25">
      <c r="A16" s="19" t="s">
        <v>11</v>
      </c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</row>
    <row r="17" spans="1:32" s="16" customFormat="1" ht="20.149999999999999" customHeight="1" x14ac:dyDescent="0.25">
      <c r="A17" s="19" t="s">
        <v>12</v>
      </c>
      <c r="B17" s="10"/>
      <c r="C17" s="10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</row>
    <row r="18" spans="1:32" s="16" customFormat="1" ht="20.149999999999999" customHeight="1" x14ac:dyDescent="0.25">
      <c r="A18" s="19" t="s">
        <v>13</v>
      </c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</row>
    <row r="19" spans="1:32" s="16" customFormat="1" ht="20.149999999999999" customHeight="1" x14ac:dyDescent="0.25">
      <c r="A19" s="19" t="s">
        <v>14</v>
      </c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</row>
    <row r="20" spans="1:32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2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2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  <c r="AF22" s="5"/>
    </row>
    <row r="23" spans="1:32" x14ac:dyDescent="0.25">
      <c r="A23" s="17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  <c r="AF23" s="5"/>
    </row>
    <row r="24" spans="1:32" x14ac:dyDescent="0.25">
      <c r="A24" s="17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  <c r="AF24" s="5"/>
    </row>
    <row r="25" spans="1:32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  <c r="AF25" s="5"/>
    </row>
    <row r="26" spans="1:32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  <c r="AF26" s="5"/>
    </row>
    <row r="27" spans="1:32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  <c r="AF27" s="5"/>
    </row>
    <row r="28" spans="1:32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  <c r="AF28" s="5"/>
    </row>
    <row r="29" spans="1:32" x14ac:dyDescent="0.25">
      <c r="A29" s="3"/>
      <c r="H29" s="1"/>
      <c r="I29" s="1"/>
      <c r="J29" s="1"/>
    </row>
    <row r="30" spans="1:32" x14ac:dyDescent="0.25">
      <c r="A30" s="3"/>
      <c r="H30" s="1"/>
      <c r="I30" s="1"/>
      <c r="J30" s="1"/>
    </row>
    <row r="31" spans="1:32" x14ac:dyDescent="0.25">
      <c r="A31" s="3"/>
    </row>
    <row r="32" spans="1:32" x14ac:dyDescent="0.25">
      <c r="A32" s="13"/>
      <c r="B32" s="12"/>
      <c r="C32" s="12"/>
      <c r="D32" s="12"/>
      <c r="E32" s="12"/>
      <c r="F32" s="12"/>
      <c r="G32" s="12"/>
      <c r="H32" s="11"/>
      <c r="I32" s="11"/>
      <c r="J32" s="11"/>
    </row>
    <row r="34" spans="1:32" x14ac:dyDescent="0.25">
      <c r="A34" s="11"/>
      <c r="B34" s="12"/>
      <c r="C34" s="12"/>
      <c r="D34" s="12"/>
      <c r="E34" s="12"/>
      <c r="F34" s="12"/>
      <c r="G34" s="12"/>
      <c r="H34" s="12"/>
      <c r="I34" s="12"/>
      <c r="J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</row>
  </sheetData>
  <mergeCells count="24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35" right="0.37" top="0" bottom="0.25" header="0.5" footer="0.5"/>
  <pageSetup orientation="landscape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H28"/>
  <sheetViews>
    <sheetView zoomScale="70" zoomScaleNormal="70" workbookViewId="0">
      <selection activeCell="X10" sqref="X10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5" width="9.81640625" customWidth="1"/>
    <col min="16" max="16" width="7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30" width="7.54296875" customWidth="1"/>
    <col min="31" max="32" width="8.1796875" customWidth="1"/>
  </cols>
  <sheetData>
    <row r="1" spans="1:34" ht="18" x14ac:dyDescent="0.4">
      <c r="A1" s="1">
        <f>COUNTA(B8:AF19)</f>
        <v>13</v>
      </c>
      <c r="B1" s="50">
        <f>A1/260</f>
        <v>0.05</v>
      </c>
      <c r="C1" s="50">
        <f>1-B1</f>
        <v>0.95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21.75" customHeight="1" x14ac:dyDescent="0.3">
      <c r="A3" s="3" t="s">
        <v>1</v>
      </c>
      <c r="C3" t="s">
        <v>33</v>
      </c>
      <c r="D3" s="4"/>
      <c r="E3" s="4"/>
      <c r="F3" s="4"/>
      <c r="G3" s="4"/>
      <c r="H3" s="4"/>
      <c r="I3" s="4"/>
      <c r="J3" s="4"/>
      <c r="N3" t="s">
        <v>2</v>
      </c>
      <c r="O3" s="23">
        <v>42611</v>
      </c>
      <c r="P3" s="4"/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21" customHeight="1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26" t="s">
        <v>112</v>
      </c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G8">
        <v>21</v>
      </c>
      <c r="AH8">
        <f>COUNTA(B8:AF8)</f>
        <v>1</v>
      </c>
    </row>
    <row r="9" spans="1:34" ht="16.5" customHeight="1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26" t="s">
        <v>113</v>
      </c>
      <c r="Q9" s="26" t="s">
        <v>113</v>
      </c>
      <c r="R9" s="26" t="s">
        <v>113</v>
      </c>
      <c r="S9" s="9"/>
      <c r="T9" s="10"/>
      <c r="U9" s="10"/>
      <c r="V9" s="9"/>
      <c r="W9" s="9"/>
      <c r="X9" s="9"/>
      <c r="Y9" s="9"/>
      <c r="Z9" s="9"/>
      <c r="AA9" s="10"/>
      <c r="AB9" s="10"/>
      <c r="AC9" s="26" t="s">
        <v>114</v>
      </c>
      <c r="AD9" s="22"/>
      <c r="AE9" s="22"/>
      <c r="AF9" s="22"/>
      <c r="AG9">
        <v>20</v>
      </c>
      <c r="AH9">
        <f t="shared" ref="AH9:AH19" si="0">COUNTA(B9:AF9)</f>
        <v>4</v>
      </c>
    </row>
    <row r="10" spans="1:34" ht="20.25" customHeight="1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26" t="s">
        <v>112</v>
      </c>
      <c r="Y10" s="9"/>
      <c r="Z10" s="9"/>
      <c r="AA10" s="10"/>
      <c r="AB10" s="10"/>
      <c r="AC10" s="9"/>
      <c r="AD10" s="9"/>
      <c r="AE10" s="9"/>
      <c r="AF10" s="9"/>
      <c r="AG10">
        <v>23</v>
      </c>
      <c r="AH10">
        <f t="shared" si="0"/>
        <v>1</v>
      </c>
    </row>
    <row r="11" spans="1:34" ht="19.5" customHeight="1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G11">
        <v>21</v>
      </c>
      <c r="AH11">
        <f t="shared" si="0"/>
        <v>0</v>
      </c>
    </row>
    <row r="12" spans="1:34" ht="21" customHeight="1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G12">
        <v>22</v>
      </c>
      <c r="AH12">
        <f t="shared" si="0"/>
        <v>0</v>
      </c>
    </row>
    <row r="13" spans="1:34" ht="20.25" customHeight="1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26" t="s">
        <v>113</v>
      </c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G13">
        <v>22</v>
      </c>
      <c r="AH13">
        <f t="shared" si="0"/>
        <v>1</v>
      </c>
    </row>
    <row r="14" spans="1:34" ht="19.5" customHeight="1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26" t="s">
        <v>113</v>
      </c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G14">
        <v>20</v>
      </c>
      <c r="AH14">
        <f t="shared" si="0"/>
        <v>1</v>
      </c>
    </row>
    <row r="15" spans="1:34" ht="18.75" customHeight="1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113</v>
      </c>
      <c r="X15" s="26" t="s">
        <v>113</v>
      </c>
      <c r="Y15" s="26" t="s">
        <v>113</v>
      </c>
      <c r="Z15" s="26" t="s">
        <v>113</v>
      </c>
      <c r="AA15" s="9"/>
      <c r="AB15" s="10"/>
      <c r="AC15" s="10"/>
      <c r="AD15" s="9"/>
      <c r="AE15" s="9"/>
      <c r="AF15" s="9"/>
      <c r="AG15">
        <v>23</v>
      </c>
      <c r="AH15">
        <f t="shared" si="0"/>
        <v>4</v>
      </c>
    </row>
    <row r="16" spans="1:34" ht="19.5" customHeight="1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G16">
        <v>22</v>
      </c>
      <c r="AH16">
        <f t="shared" si="0"/>
        <v>0</v>
      </c>
    </row>
    <row r="17" spans="1:34" ht="19.5" customHeight="1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26" t="s">
        <v>113</v>
      </c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G17">
        <v>21</v>
      </c>
      <c r="AH17">
        <f t="shared" si="0"/>
        <v>1</v>
      </c>
    </row>
    <row r="18" spans="1:34" ht="19.5" customHeight="1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G18">
        <v>22</v>
      </c>
      <c r="AH18">
        <f t="shared" si="0"/>
        <v>0</v>
      </c>
    </row>
    <row r="19" spans="1:34" ht="19.5" customHeight="1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G19">
        <v>22</v>
      </c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  <c r="AF22" s="5"/>
    </row>
    <row r="23" spans="1:34" ht="25.5" customHeight="1" x14ac:dyDescent="0.25">
      <c r="A23" s="25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  <c r="AF23" s="5"/>
    </row>
    <row r="24" spans="1:34" ht="24" customHeight="1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  <c r="AF24" s="5"/>
    </row>
    <row r="25" spans="1:34" ht="32.25" customHeight="1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  <c r="AF25" s="5"/>
    </row>
    <row r="26" spans="1:34" ht="22.5" customHeight="1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  <c r="AF26" s="5"/>
    </row>
    <row r="27" spans="1:34" ht="38.25" customHeight="1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  <c r="AF27" s="5"/>
    </row>
    <row r="28" spans="1:34" ht="22.5" customHeight="1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  <c r="AF28" s="5"/>
    </row>
  </sheetData>
  <mergeCells count="24">
    <mergeCell ref="V1:W1"/>
    <mergeCell ref="A5:J5"/>
    <mergeCell ref="B6:C6"/>
    <mergeCell ref="E6:F6"/>
    <mergeCell ref="H6:J6"/>
    <mergeCell ref="E25:F25"/>
    <mergeCell ref="H25:M25"/>
    <mergeCell ref="H22:M22"/>
    <mergeCell ref="B23:C23"/>
    <mergeCell ref="B25:C25"/>
    <mergeCell ref="E23:F23"/>
    <mergeCell ref="H23:M23"/>
    <mergeCell ref="B24:C24"/>
    <mergeCell ref="E24:F24"/>
    <mergeCell ref="H24:M24"/>
    <mergeCell ref="B28:C28"/>
    <mergeCell ref="E28:F28"/>
    <mergeCell ref="H28:M28"/>
    <mergeCell ref="B26:C26"/>
    <mergeCell ref="E26:F26"/>
    <mergeCell ref="B27:C27"/>
    <mergeCell ref="E27:F27"/>
    <mergeCell ref="H27:M27"/>
    <mergeCell ref="H26:M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H28"/>
  <sheetViews>
    <sheetView zoomScale="70" zoomScaleNormal="70" workbookViewId="0">
      <selection activeCell="AH19" sqref="AH19"/>
    </sheetView>
  </sheetViews>
  <sheetFormatPr defaultRowHeight="12.5" x14ac:dyDescent="0.25"/>
  <cols>
    <col min="1" max="1" width="7.81640625" customWidth="1"/>
    <col min="2" max="2" width="8" customWidth="1"/>
    <col min="3" max="3" width="7.81640625" customWidth="1"/>
    <col min="4" max="4" width="8.1796875" customWidth="1"/>
    <col min="5" max="6" width="7.81640625" customWidth="1"/>
    <col min="7" max="9" width="8.1796875" customWidth="1"/>
    <col min="10" max="10" width="8" customWidth="1"/>
    <col min="11" max="11" width="7.54296875" customWidth="1"/>
    <col min="12" max="12" width="7.81640625" customWidth="1"/>
    <col min="13" max="13" width="8.1796875" customWidth="1"/>
    <col min="14" max="14" width="7.54296875" customWidth="1"/>
    <col min="15" max="15" width="10.1796875" customWidth="1"/>
    <col min="16" max="20" width="7.81640625" customWidth="1"/>
    <col min="21" max="21" width="8.81640625" customWidth="1"/>
    <col min="23" max="23" width="8.453125" customWidth="1"/>
    <col min="24" max="25" width="7.81640625" customWidth="1"/>
    <col min="26" max="26" width="8.81640625" customWidth="1"/>
    <col min="27" max="27" width="8" customWidth="1"/>
    <col min="28" max="28" width="7.54296875" customWidth="1"/>
    <col min="29" max="29" width="7.81640625" customWidth="1"/>
    <col min="30" max="30" width="8.1796875" customWidth="1"/>
    <col min="31" max="31" width="7.81640625" customWidth="1"/>
    <col min="32" max="32" width="8.1796875" customWidth="1"/>
  </cols>
  <sheetData>
    <row r="1" spans="1:34" ht="18" x14ac:dyDescent="0.4">
      <c r="A1" s="1">
        <f>COUNTA(B8:AF19)</f>
        <v>11</v>
      </c>
      <c r="B1" s="50">
        <f>A1/260</f>
        <v>4.230769230769231E-2</v>
      </c>
      <c r="C1" s="50">
        <f>1-B1</f>
        <v>0.95769230769230773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31" t="s">
        <v>160</v>
      </c>
      <c r="E3" s="4"/>
      <c r="F3" s="4"/>
      <c r="G3" s="4"/>
      <c r="H3" s="4"/>
      <c r="I3" s="4"/>
      <c r="J3" s="4"/>
      <c r="L3" t="s">
        <v>2</v>
      </c>
      <c r="O3" s="23">
        <v>44676</v>
      </c>
      <c r="P3" s="4"/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 t="s">
        <v>118</v>
      </c>
      <c r="U11" s="9" t="s">
        <v>118</v>
      </c>
      <c r="V11" s="9" t="s">
        <v>118</v>
      </c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3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26" t="s">
        <v>114</v>
      </c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26" t="s">
        <v>178</v>
      </c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26" t="s">
        <v>114</v>
      </c>
      <c r="C15" s="28" t="s">
        <v>178</v>
      </c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26" t="s">
        <v>114</v>
      </c>
      <c r="AE15" s="9"/>
      <c r="AF15" s="9"/>
      <c r="AH15">
        <f t="shared" si="0"/>
        <v>3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26" t="s">
        <v>114</v>
      </c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26" t="s">
        <v>114</v>
      </c>
      <c r="G17" s="26" t="s">
        <v>116</v>
      </c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0" spans="1:34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4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  <c r="AF22" s="5"/>
    </row>
    <row r="23" spans="1:34" x14ac:dyDescent="0.25">
      <c r="A23" s="25">
        <v>44852</v>
      </c>
      <c r="B23" s="51"/>
      <c r="C23" s="51"/>
      <c r="D23" s="16"/>
      <c r="E23" s="51"/>
      <c r="F23" s="51"/>
      <c r="G23" s="16"/>
      <c r="H23" s="52" t="s">
        <v>228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  <c r="AF23" s="5"/>
    </row>
    <row r="24" spans="1:34" x14ac:dyDescent="0.25">
      <c r="A24" s="17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  <c r="AF24" s="5"/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  <c r="AF25" s="5"/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  <c r="AF26" s="5"/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  <c r="AF27" s="5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  <c r="AF28" s="5"/>
    </row>
  </sheetData>
  <mergeCells count="24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AH28"/>
  <sheetViews>
    <sheetView zoomScale="70" zoomScaleNormal="70"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5" width="9.81640625" customWidth="1"/>
    <col min="16" max="16" width="7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542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48</v>
      </c>
      <c r="B1" s="50">
        <f>A1/260</f>
        <v>0.18461538461538463</v>
      </c>
      <c r="C1" s="50">
        <f>1-B1</f>
        <v>0.81538461538461537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34</v>
      </c>
      <c r="E3" s="4"/>
      <c r="F3" s="4"/>
      <c r="G3" s="4"/>
      <c r="H3" s="4"/>
      <c r="I3" s="4"/>
      <c r="J3" s="4"/>
      <c r="N3" t="s">
        <v>2</v>
      </c>
      <c r="O3" s="4"/>
      <c r="P3" s="23" t="s">
        <v>35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31.5" customHeight="1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26" t="s">
        <v>111</v>
      </c>
      <c r="L8" s="9"/>
      <c r="M8" s="9"/>
      <c r="N8" s="9"/>
      <c r="O8" s="9"/>
      <c r="P8" s="10"/>
      <c r="Q8" s="10"/>
      <c r="R8" s="26" t="s">
        <v>114</v>
      </c>
      <c r="S8" s="26" t="s">
        <v>116</v>
      </c>
      <c r="T8" s="26" t="s">
        <v>116</v>
      </c>
      <c r="U8" s="26" t="s">
        <v>116</v>
      </c>
      <c r="V8" s="9"/>
      <c r="W8" s="10"/>
      <c r="X8" s="10"/>
      <c r="Y8" s="26" t="s">
        <v>116</v>
      </c>
      <c r="Z8" s="26" t="s">
        <v>116</v>
      </c>
      <c r="AA8" s="26" t="s">
        <v>116</v>
      </c>
      <c r="AB8" s="26" t="s">
        <v>116</v>
      </c>
      <c r="AC8" s="9"/>
      <c r="AD8" s="10"/>
      <c r="AE8" s="10"/>
      <c r="AF8" s="9"/>
      <c r="AH8">
        <f>COUNTA(B8:AF8)</f>
        <v>9</v>
      </c>
    </row>
    <row r="9" spans="1:34" ht="32.25" customHeight="1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26" t="s">
        <v>117</v>
      </c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30.75" customHeight="1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26" t="s">
        <v>114</v>
      </c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26" t="s">
        <v>114</v>
      </c>
      <c r="AH10">
        <f t="shared" si="0"/>
        <v>2</v>
      </c>
    </row>
    <row r="11" spans="1:34" ht="31.5" customHeight="1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47.25" customHeight="1" x14ac:dyDescent="0.25">
      <c r="A12" s="19" t="s">
        <v>7</v>
      </c>
      <c r="B12" s="16"/>
      <c r="C12" s="16"/>
      <c r="D12" s="16"/>
      <c r="E12" s="26" t="s">
        <v>114</v>
      </c>
      <c r="F12" s="26" t="s">
        <v>116</v>
      </c>
      <c r="G12" s="9"/>
      <c r="H12" s="10"/>
      <c r="I12" s="10"/>
      <c r="J12" s="26" t="s">
        <v>114</v>
      </c>
      <c r="K12" s="26" t="s">
        <v>116</v>
      </c>
      <c r="L12" s="26" t="s">
        <v>116</v>
      </c>
      <c r="M12" s="26" t="s">
        <v>116</v>
      </c>
      <c r="N12" s="9"/>
      <c r="O12" s="10"/>
      <c r="P12" s="10"/>
      <c r="Q12" s="26" t="s">
        <v>114</v>
      </c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7</v>
      </c>
    </row>
    <row r="13" spans="1:34" ht="30.75" customHeight="1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26" t="s">
        <v>114</v>
      </c>
      <c r="P13" s="26" t="s">
        <v>116</v>
      </c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29.25" customHeight="1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26" t="s">
        <v>113</v>
      </c>
      <c r="M14" s="9"/>
      <c r="N14" s="9"/>
      <c r="O14" s="26" t="s">
        <v>114</v>
      </c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2</v>
      </c>
    </row>
    <row r="15" spans="1:34" ht="30.75" customHeight="1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26" t="s">
        <v>114</v>
      </c>
      <c r="L15" s="26" t="s">
        <v>116</v>
      </c>
      <c r="M15" s="9"/>
      <c r="N15" s="10"/>
      <c r="O15" s="10"/>
      <c r="P15" s="26" t="s">
        <v>114</v>
      </c>
      <c r="Q15" s="26" t="s">
        <v>116</v>
      </c>
      <c r="R15" s="26" t="s">
        <v>116</v>
      </c>
      <c r="S15" s="26" t="s">
        <v>116</v>
      </c>
      <c r="T15" s="9"/>
      <c r="U15" s="10"/>
      <c r="V15" s="10"/>
      <c r="W15" s="26" t="s">
        <v>175</v>
      </c>
      <c r="X15" s="26" t="s">
        <v>116</v>
      </c>
      <c r="Y15" s="26" t="s">
        <v>116</v>
      </c>
      <c r="Z15" s="26" t="s">
        <v>116</v>
      </c>
      <c r="AA15" s="9"/>
      <c r="AB15" s="10"/>
      <c r="AC15" s="10"/>
      <c r="AD15" s="26" t="s">
        <v>113</v>
      </c>
      <c r="AE15" s="26" t="s">
        <v>116</v>
      </c>
      <c r="AF15" s="9"/>
      <c r="AH15">
        <f t="shared" si="0"/>
        <v>12</v>
      </c>
    </row>
    <row r="16" spans="1:34" ht="32.25" customHeight="1" x14ac:dyDescent="0.25">
      <c r="A16" s="19" t="s">
        <v>11</v>
      </c>
      <c r="B16" s="16"/>
      <c r="C16" s="16"/>
      <c r="D16" s="10"/>
      <c r="E16" s="10"/>
      <c r="F16" s="9"/>
      <c r="G16" s="26" t="s">
        <v>114</v>
      </c>
      <c r="H16" s="26" t="s">
        <v>116</v>
      </c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33" customHeight="1" x14ac:dyDescent="0.3">
      <c r="A17" s="19" t="s">
        <v>12</v>
      </c>
      <c r="B17" s="10"/>
      <c r="C17" s="10"/>
      <c r="D17" s="36" t="s">
        <v>114</v>
      </c>
      <c r="E17" s="16"/>
      <c r="F17" s="9"/>
      <c r="G17" s="9"/>
      <c r="H17" s="9"/>
      <c r="I17" s="10"/>
      <c r="J17" s="10"/>
      <c r="K17" s="26" t="s">
        <v>229</v>
      </c>
      <c r="L17" s="26" t="s">
        <v>140</v>
      </c>
      <c r="M17" s="26" t="s">
        <v>140</v>
      </c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4</v>
      </c>
    </row>
    <row r="18" spans="1:34" ht="33" customHeight="1" x14ac:dyDescent="0.25">
      <c r="A18" s="19" t="s">
        <v>13</v>
      </c>
      <c r="B18" s="28" t="s">
        <v>140</v>
      </c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26" t="s">
        <v>113</v>
      </c>
      <c r="P18" s="26" t="s">
        <v>114</v>
      </c>
      <c r="Q18" s="9"/>
      <c r="R18" s="9"/>
      <c r="S18" s="9"/>
      <c r="T18" s="10"/>
      <c r="U18" s="10"/>
      <c r="V18" s="9"/>
      <c r="W18" s="26" t="s">
        <v>114</v>
      </c>
      <c r="X18" s="26" t="s">
        <v>116</v>
      </c>
      <c r="Y18" s="9"/>
      <c r="Z18" s="9"/>
      <c r="AA18" s="10"/>
      <c r="AB18" s="10"/>
      <c r="AC18" s="9"/>
      <c r="AD18" s="9"/>
      <c r="AE18" s="9"/>
      <c r="AF18" s="22"/>
      <c r="AH18">
        <f t="shared" si="0"/>
        <v>5</v>
      </c>
    </row>
    <row r="19" spans="1:34" ht="27" customHeight="1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114</v>
      </c>
      <c r="N19" s="26" t="s">
        <v>116</v>
      </c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52" t="s">
        <v>118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AH28"/>
  <sheetViews>
    <sheetView zoomScale="70" zoomScaleNormal="70"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5" width="9.81640625" customWidth="1"/>
    <col min="16" max="16" width="7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542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</v>
      </c>
      <c r="B1" s="50">
        <f>A1/260</f>
        <v>7.6923076923076927E-3</v>
      </c>
      <c r="C1" s="50">
        <f>1-B1</f>
        <v>0.99230769230769234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36</v>
      </c>
      <c r="E3" s="4"/>
      <c r="F3" s="4"/>
      <c r="G3" s="4"/>
      <c r="H3" s="4"/>
      <c r="I3" s="4"/>
      <c r="J3" s="4"/>
      <c r="N3" t="s">
        <v>2</v>
      </c>
      <c r="O3" s="4"/>
      <c r="P3" s="23">
        <v>44102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32.25" customHeight="1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45"/>
      <c r="S8" s="9"/>
      <c r="T8" s="9"/>
      <c r="U8" s="9"/>
      <c r="V8" s="9"/>
      <c r="W8" s="10"/>
      <c r="X8" s="10"/>
      <c r="Y8" s="45"/>
      <c r="Z8" s="45"/>
      <c r="AA8" s="45"/>
      <c r="AB8" s="45"/>
      <c r="AC8" s="9"/>
      <c r="AD8" s="10"/>
      <c r="AE8" s="10"/>
      <c r="AF8" s="45"/>
      <c r="AH8">
        <f>COUNTA(B8:AF8)</f>
        <v>0</v>
      </c>
    </row>
    <row r="9" spans="1:34" ht="32.25" customHeight="1" x14ac:dyDescent="0.25">
      <c r="A9" s="19" t="s">
        <v>4</v>
      </c>
      <c r="B9" s="49"/>
      <c r="C9" s="49"/>
      <c r="D9" s="45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45"/>
      <c r="W9" s="45"/>
      <c r="X9" s="45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32.25" customHeight="1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30" customHeight="1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45"/>
      <c r="AE11" s="10"/>
      <c r="AF11" s="22"/>
      <c r="AH11">
        <f t="shared" si="0"/>
        <v>0</v>
      </c>
    </row>
    <row r="12" spans="1:34" ht="32.25" customHeight="1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30.75" customHeight="1" x14ac:dyDescent="0.25">
      <c r="A13" s="19" t="s">
        <v>8</v>
      </c>
      <c r="B13" s="16"/>
      <c r="C13" s="16"/>
      <c r="D13" s="16"/>
      <c r="E13" s="10"/>
      <c r="F13" s="10"/>
      <c r="G13" s="45"/>
      <c r="H13" s="9"/>
      <c r="I13" s="9"/>
      <c r="J13" s="9"/>
      <c r="K13" s="9"/>
      <c r="L13" s="10"/>
      <c r="M13" s="10"/>
      <c r="N13" s="9"/>
      <c r="O13" s="45"/>
      <c r="P13" s="45"/>
      <c r="Q13" s="45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50.25" customHeight="1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30.75" customHeight="1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45"/>
      <c r="K15" s="9"/>
      <c r="L15" s="9"/>
      <c r="M15" s="9"/>
      <c r="N15" s="10"/>
      <c r="O15" s="10"/>
      <c r="P15" s="9"/>
      <c r="Q15" s="9"/>
      <c r="R15" s="45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30" customHeight="1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45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31.5" customHeight="1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45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30" customHeight="1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45"/>
      <c r="Y18" s="9"/>
      <c r="Z18" s="9"/>
      <c r="AA18" s="10"/>
      <c r="AB18" s="10"/>
      <c r="AC18" s="9"/>
      <c r="AD18" s="9"/>
      <c r="AE18" s="26" t="s">
        <v>114</v>
      </c>
      <c r="AF18" s="22"/>
      <c r="AH18">
        <f t="shared" si="0"/>
        <v>1</v>
      </c>
    </row>
    <row r="19" spans="1:34" ht="29.25" customHeight="1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26" t="s">
        <v>178</v>
      </c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AH28"/>
  <sheetViews>
    <sheetView zoomScale="85" zoomScaleNormal="85"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5" width="9.81640625" customWidth="1"/>
    <col min="16" max="16" width="7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542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22</v>
      </c>
      <c r="B1" s="50">
        <f>A1/260</f>
        <v>8.461538461538462E-2</v>
      </c>
      <c r="C1" s="50">
        <f>1-B1</f>
        <v>0.91538461538461535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36</v>
      </c>
      <c r="E3" s="4"/>
      <c r="F3" s="4"/>
      <c r="G3" s="4"/>
      <c r="H3" s="4"/>
      <c r="I3" s="4"/>
      <c r="J3" s="4"/>
      <c r="N3" t="s">
        <v>2</v>
      </c>
      <c r="O3" s="4"/>
      <c r="P3" s="23">
        <v>44102</v>
      </c>
      <c r="Q3" s="4"/>
      <c r="R3" s="4"/>
      <c r="U3" s="18"/>
    </row>
    <row r="4" spans="1:34" x14ac:dyDescent="0.25">
      <c r="A4" s="1"/>
      <c r="B4" s="50"/>
      <c r="C4" s="50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32.25" customHeight="1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113</v>
      </c>
      <c r="S8" s="9"/>
      <c r="T8" s="9"/>
      <c r="U8" s="9"/>
      <c r="V8" s="9"/>
      <c r="W8" s="10"/>
      <c r="X8" s="10"/>
      <c r="Y8" s="26" t="s">
        <v>119</v>
      </c>
      <c r="Z8" s="26" t="s">
        <v>119</v>
      </c>
      <c r="AA8" s="26" t="s">
        <v>119</v>
      </c>
      <c r="AB8" s="26" t="s">
        <v>119</v>
      </c>
      <c r="AC8" s="9"/>
      <c r="AD8" s="10"/>
      <c r="AE8" s="10"/>
      <c r="AF8" s="26" t="s">
        <v>116</v>
      </c>
      <c r="AH8">
        <f>COUNTA(B8:AF8)</f>
        <v>6</v>
      </c>
    </row>
    <row r="9" spans="1:34" ht="32.25" customHeight="1" x14ac:dyDescent="0.25">
      <c r="A9" s="19" t="s">
        <v>4</v>
      </c>
      <c r="B9" s="27" t="s">
        <v>116</v>
      </c>
      <c r="C9" s="27" t="s">
        <v>116</v>
      </c>
      <c r="D9" s="26" t="s">
        <v>116</v>
      </c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26" t="s">
        <v>113</v>
      </c>
      <c r="W9" s="26" t="s">
        <v>113</v>
      </c>
      <c r="X9" s="26" t="s">
        <v>113</v>
      </c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6</v>
      </c>
    </row>
    <row r="10" spans="1:34" ht="32.25" customHeight="1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30" customHeight="1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26" t="s">
        <v>114</v>
      </c>
      <c r="AE11" s="10"/>
      <c r="AF11" s="22"/>
      <c r="AH11">
        <f t="shared" si="0"/>
        <v>1</v>
      </c>
    </row>
    <row r="12" spans="1:34" ht="32.25" customHeight="1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30.75" customHeight="1" x14ac:dyDescent="0.25">
      <c r="A13" s="19" t="s">
        <v>8</v>
      </c>
      <c r="B13" s="16"/>
      <c r="C13" s="16"/>
      <c r="D13" s="16"/>
      <c r="E13" s="10"/>
      <c r="F13" s="10"/>
      <c r="G13" s="26" t="s">
        <v>114</v>
      </c>
      <c r="H13" s="9"/>
      <c r="I13" s="9"/>
      <c r="J13" s="9"/>
      <c r="K13" s="9"/>
      <c r="L13" s="10"/>
      <c r="M13" s="10"/>
      <c r="N13" s="9"/>
      <c r="O13" s="26" t="s">
        <v>116</v>
      </c>
      <c r="P13" s="26" t="s">
        <v>116</v>
      </c>
      <c r="Q13" s="26" t="s">
        <v>116</v>
      </c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4</v>
      </c>
    </row>
    <row r="14" spans="1:34" ht="50.25" customHeight="1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30.75" customHeight="1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26" t="s">
        <v>175</v>
      </c>
      <c r="K15" s="9"/>
      <c r="L15" s="9"/>
      <c r="M15" s="9"/>
      <c r="N15" s="10"/>
      <c r="O15" s="10"/>
      <c r="P15" s="9"/>
      <c r="Q15" s="9"/>
      <c r="R15" s="26" t="s">
        <v>114</v>
      </c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30" customHeight="1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178</v>
      </c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31.5" customHeight="1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26" t="s">
        <v>113</v>
      </c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30" customHeight="1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26" t="s">
        <v>197</v>
      </c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29.25" customHeight="1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44726</v>
      </c>
      <c r="B23" s="51"/>
      <c r="C23" s="51"/>
      <c r="D23" s="16"/>
      <c r="E23" s="51"/>
      <c r="F23" s="51"/>
      <c r="G23" s="16"/>
      <c r="H23" s="52" t="s">
        <v>195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H28"/>
  <sheetViews>
    <sheetView zoomScale="70" zoomScaleNormal="70"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542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28</v>
      </c>
      <c r="B1" s="50">
        <f>A1/260</f>
        <v>0.1076923076923077</v>
      </c>
      <c r="C1" s="50">
        <f>1-B1</f>
        <v>0.89230769230769225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37</v>
      </c>
      <c r="E3" s="4"/>
      <c r="F3" s="4"/>
      <c r="G3" s="4"/>
      <c r="H3" s="4"/>
      <c r="I3" s="4"/>
      <c r="J3" s="4"/>
      <c r="N3" t="s">
        <v>2</v>
      </c>
      <c r="O3" s="4"/>
      <c r="P3" s="23">
        <v>44109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31.5" customHeight="1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113</v>
      </c>
      <c r="S8" s="9"/>
      <c r="T8" s="9"/>
      <c r="U8" s="9"/>
      <c r="V8" s="9"/>
      <c r="W8" s="10"/>
      <c r="X8" s="10"/>
      <c r="Y8" s="26" t="s">
        <v>119</v>
      </c>
      <c r="Z8" s="26" t="s">
        <v>119</v>
      </c>
      <c r="AA8" s="26" t="s">
        <v>119</v>
      </c>
      <c r="AB8" s="26" t="s">
        <v>119</v>
      </c>
      <c r="AC8" s="9"/>
      <c r="AD8" s="10"/>
      <c r="AE8" s="10"/>
      <c r="AF8" s="26" t="s">
        <v>116</v>
      </c>
      <c r="AH8">
        <f>COUNTA(B8:AF8)</f>
        <v>6</v>
      </c>
    </row>
    <row r="9" spans="1:34" ht="29.25" customHeight="1" x14ac:dyDescent="0.25">
      <c r="A9" s="19" t="s">
        <v>4</v>
      </c>
      <c r="B9" s="27" t="s">
        <v>116</v>
      </c>
      <c r="C9" s="27" t="s">
        <v>116</v>
      </c>
      <c r="D9" s="26" t="s">
        <v>116</v>
      </c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26" t="s">
        <v>113</v>
      </c>
      <c r="W9" s="26" t="s">
        <v>116</v>
      </c>
      <c r="X9" s="26" t="s">
        <v>113</v>
      </c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6</v>
      </c>
    </row>
    <row r="10" spans="1:34" ht="32.25" customHeight="1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31.5" customHeight="1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26" t="s">
        <v>114</v>
      </c>
      <c r="AE11" s="10"/>
      <c r="AF11" s="22"/>
      <c r="AH11">
        <f t="shared" si="0"/>
        <v>1</v>
      </c>
    </row>
    <row r="12" spans="1:34" ht="30" customHeight="1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31.5" customHeight="1" x14ac:dyDescent="0.25">
      <c r="A13" s="19" t="s">
        <v>8</v>
      </c>
      <c r="B13" s="16"/>
      <c r="C13" s="16"/>
      <c r="D13" s="16"/>
      <c r="E13" s="10"/>
      <c r="F13" s="10"/>
      <c r="G13" s="26" t="s">
        <v>114</v>
      </c>
      <c r="H13" s="9"/>
      <c r="I13" s="9"/>
      <c r="J13" s="9"/>
      <c r="K13" s="9"/>
      <c r="L13" s="10"/>
      <c r="M13" s="10"/>
      <c r="N13" s="9"/>
      <c r="O13" s="26" t="s">
        <v>116</v>
      </c>
      <c r="P13" s="26" t="s">
        <v>116</v>
      </c>
      <c r="Q13" s="26" t="s">
        <v>116</v>
      </c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4</v>
      </c>
    </row>
    <row r="14" spans="1:34" ht="30.75" customHeight="1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26" t="s">
        <v>114</v>
      </c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29.25" customHeight="1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26" t="s">
        <v>175</v>
      </c>
      <c r="K15" s="9"/>
      <c r="L15" s="26" t="s">
        <v>175</v>
      </c>
      <c r="M15" s="9"/>
      <c r="N15" s="10"/>
      <c r="O15" s="10"/>
      <c r="P15" s="9"/>
      <c r="Q15" s="9"/>
      <c r="R15" s="26" t="s">
        <v>114</v>
      </c>
      <c r="S15" s="26" t="s">
        <v>116</v>
      </c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4</v>
      </c>
    </row>
    <row r="16" spans="1:34" ht="26.25" customHeight="1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114</v>
      </c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46.5" customHeight="1" x14ac:dyDescent="0.3">
      <c r="A17" s="19" t="s">
        <v>12</v>
      </c>
      <c r="B17" s="10"/>
      <c r="C17" s="10"/>
      <c r="D17" s="36" t="s">
        <v>113</v>
      </c>
      <c r="E17" s="16"/>
      <c r="F17" s="9"/>
      <c r="G17" s="9"/>
      <c r="H17" s="9"/>
      <c r="I17" s="10"/>
      <c r="J17" s="10"/>
      <c r="K17" s="26" t="s">
        <v>114</v>
      </c>
      <c r="L17" s="26" t="s">
        <v>116</v>
      </c>
      <c r="M17" s="9"/>
      <c r="N17" s="9"/>
      <c r="O17" s="9"/>
      <c r="P17" s="10"/>
      <c r="Q17" s="10"/>
      <c r="R17" s="9"/>
      <c r="S17" s="9"/>
      <c r="T17" s="26" t="s">
        <v>114</v>
      </c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4</v>
      </c>
    </row>
    <row r="18" spans="1:34" ht="31.5" customHeight="1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26" t="s">
        <v>197</v>
      </c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27.75" customHeight="1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44726</v>
      </c>
      <c r="B23" s="51"/>
      <c r="C23" s="51"/>
      <c r="D23" s="16"/>
      <c r="E23" s="51"/>
      <c r="F23" s="51"/>
      <c r="G23" s="16"/>
      <c r="H23" s="52" t="s">
        <v>194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AH28"/>
  <sheetViews>
    <sheetView zoomScale="70" zoomScaleNormal="70" workbookViewId="0">
      <selection activeCell="AH8" sqref="AH8:AH19"/>
    </sheetView>
  </sheetViews>
  <sheetFormatPr defaultRowHeight="12.5" x14ac:dyDescent="0.25"/>
  <sheetData>
    <row r="1" spans="1:34" ht="18" x14ac:dyDescent="0.4">
      <c r="A1" s="1">
        <f>COUNTA(B8:AF19)</f>
        <v>12</v>
      </c>
      <c r="B1" s="50">
        <f>A1/260</f>
        <v>4.6153846153846156E-2</v>
      </c>
      <c r="C1" s="50">
        <f>1-B1</f>
        <v>0.95384615384615379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199</v>
      </c>
      <c r="E3" s="4"/>
      <c r="F3" s="4"/>
      <c r="G3" s="4"/>
      <c r="H3" s="4"/>
      <c r="I3" s="4"/>
      <c r="J3" s="4"/>
      <c r="N3" t="s">
        <v>2</v>
      </c>
      <c r="O3" s="4"/>
      <c r="P3" s="23">
        <v>44747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41"/>
      <c r="C9" s="41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26" t="s">
        <v>114</v>
      </c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26" t="s">
        <v>114</v>
      </c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26" t="s">
        <v>114</v>
      </c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26" t="s">
        <v>114</v>
      </c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26" t="s">
        <v>114</v>
      </c>
      <c r="L17" s="9"/>
      <c r="M17" s="9"/>
      <c r="N17" s="9"/>
      <c r="O17" s="9"/>
      <c r="P17" s="10"/>
      <c r="Q17" s="10"/>
      <c r="R17" s="9"/>
      <c r="S17" s="9"/>
      <c r="T17" s="9"/>
      <c r="U17" s="26" t="s">
        <v>114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28" t="s">
        <v>114</v>
      </c>
      <c r="C18" s="16"/>
      <c r="D18" s="16"/>
      <c r="E18" s="16"/>
      <c r="F18" s="10"/>
      <c r="G18" s="10"/>
      <c r="H18" s="9"/>
      <c r="I18" s="9"/>
      <c r="J18" s="26" t="s">
        <v>179</v>
      </c>
      <c r="K18" s="9"/>
      <c r="L18" s="9"/>
      <c r="M18" s="10"/>
      <c r="N18" s="10"/>
      <c r="O18" s="26" t="s">
        <v>114</v>
      </c>
      <c r="P18" s="26" t="s">
        <v>116</v>
      </c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114</v>
      </c>
      <c r="AE18" s="9"/>
      <c r="AF18" s="22"/>
      <c r="AH18">
        <f t="shared" si="0"/>
        <v>5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26" t="s">
        <v>114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4:C24"/>
    <mergeCell ref="E24:F24"/>
    <mergeCell ref="H24:M24"/>
    <mergeCell ref="H22:M22"/>
    <mergeCell ref="B25:C25"/>
    <mergeCell ref="E25:F25"/>
    <mergeCell ref="H25:M25"/>
    <mergeCell ref="B23:C23"/>
    <mergeCell ref="E23:F23"/>
    <mergeCell ref="H23:M23"/>
    <mergeCell ref="V1:W1"/>
    <mergeCell ref="A5:J5"/>
    <mergeCell ref="B6:C6"/>
    <mergeCell ref="E6:F6"/>
    <mergeCell ref="H6:J6"/>
    <mergeCell ref="B28:C28"/>
    <mergeCell ref="E28:F28"/>
    <mergeCell ref="H28:M28"/>
    <mergeCell ref="B26:C26"/>
    <mergeCell ref="E26:F26"/>
    <mergeCell ref="H26:M26"/>
    <mergeCell ref="B27:C27"/>
    <mergeCell ref="E27:F27"/>
    <mergeCell ref="H27:M2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AH28"/>
  <sheetViews>
    <sheetView tabSelected="1" workbookViewId="0">
      <selection activeCell="AH8" sqref="AH8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5" width="9.81640625" customWidth="1"/>
    <col min="16" max="16" width="10.4531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542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21</v>
      </c>
      <c r="B1" s="50">
        <f>A1/260</f>
        <v>8.0769230769230774E-2</v>
      </c>
      <c r="C1" s="50">
        <f>1-B1</f>
        <v>0.91923076923076918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38</v>
      </c>
      <c r="E3" s="4"/>
      <c r="F3" s="4"/>
      <c r="G3" s="4"/>
      <c r="H3" s="4"/>
      <c r="I3" s="4"/>
      <c r="J3" s="4"/>
      <c r="N3" t="s">
        <v>2</v>
      </c>
      <c r="O3" s="4"/>
      <c r="P3" s="23">
        <v>43395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33" customHeight="1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26" t="s">
        <v>114</v>
      </c>
      <c r="W8" s="10"/>
      <c r="X8" s="10"/>
      <c r="Y8" s="9"/>
      <c r="Z8" s="9"/>
      <c r="AA8" s="9"/>
      <c r="AB8" s="9"/>
      <c r="AC8" s="9"/>
      <c r="AD8" s="10"/>
      <c r="AE8" s="10"/>
      <c r="AF8" s="26" t="s">
        <v>112</v>
      </c>
      <c r="AH8">
        <f>COUNTA(B8:AF8)</f>
        <v>2</v>
      </c>
    </row>
    <row r="9" spans="1:34" ht="30" customHeight="1" x14ac:dyDescent="0.25">
      <c r="A9" s="19" t="s">
        <v>4</v>
      </c>
      <c r="B9" s="27" t="s">
        <v>116</v>
      </c>
      <c r="C9" s="27" t="s">
        <v>121</v>
      </c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30.75" customHeight="1" x14ac:dyDescent="0.25">
      <c r="A10" s="19" t="s">
        <v>5</v>
      </c>
      <c r="B10" s="16"/>
      <c r="C10" s="27" t="s">
        <v>114</v>
      </c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26" t="s">
        <v>114</v>
      </c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30.75" customHeight="1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26" t="s">
        <v>114</v>
      </c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30.75" customHeight="1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26" t="s">
        <v>113</v>
      </c>
      <c r="Y12" s="26" t="s">
        <v>113</v>
      </c>
      <c r="Z12" s="26" t="s">
        <v>113</v>
      </c>
      <c r="AA12" s="26" t="s">
        <v>113</v>
      </c>
      <c r="AB12" s="9"/>
      <c r="AC12" s="10"/>
      <c r="AD12" s="10"/>
      <c r="AE12" s="9"/>
      <c r="AF12" s="9"/>
      <c r="AH12">
        <f t="shared" si="0"/>
        <v>4</v>
      </c>
    </row>
    <row r="13" spans="1:34" ht="29.25" customHeight="1" x14ac:dyDescent="0.25">
      <c r="A13" s="19" t="s">
        <v>8</v>
      </c>
      <c r="B13" s="16"/>
      <c r="C13" s="28" t="s">
        <v>175</v>
      </c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32.25" customHeight="1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30.75" customHeight="1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114</v>
      </c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31.5" customHeight="1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113</v>
      </c>
      <c r="N16" s="26" t="s">
        <v>113</v>
      </c>
      <c r="O16" s="26" t="s">
        <v>113</v>
      </c>
      <c r="P16" s="26" t="s">
        <v>113</v>
      </c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4</v>
      </c>
    </row>
    <row r="17" spans="1:34" ht="34.5" customHeight="1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26" t="s">
        <v>114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33" customHeight="1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26" t="s">
        <v>116</v>
      </c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30.75" customHeight="1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114</v>
      </c>
      <c r="N19" s="26" t="s">
        <v>116</v>
      </c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44819</v>
      </c>
      <c r="B23" s="51"/>
      <c r="C23" s="51"/>
      <c r="D23" s="16"/>
      <c r="E23" s="51"/>
      <c r="F23" s="51"/>
      <c r="G23" s="16"/>
      <c r="H23" s="52" t="s">
        <v>214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5" width="9.81640625" customWidth="1"/>
    <col min="16" max="16" width="7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542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28</v>
      </c>
      <c r="B1" s="50">
        <f>A1/260</f>
        <v>0.1076923076923077</v>
      </c>
      <c r="C1" s="50">
        <f>1-B1</f>
        <v>0.89230769230769225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39</v>
      </c>
      <c r="E3" s="4"/>
      <c r="F3" s="4"/>
      <c r="G3" s="4"/>
      <c r="H3" s="4"/>
      <c r="I3" s="4"/>
      <c r="J3" s="4"/>
      <c r="N3" t="s">
        <v>2</v>
      </c>
      <c r="O3" s="4"/>
      <c r="P3" s="23">
        <v>39209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34.5" customHeight="1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114</v>
      </c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1</v>
      </c>
    </row>
    <row r="9" spans="1:34" ht="33.75" customHeight="1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26" t="s">
        <v>114</v>
      </c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30.75" customHeight="1" x14ac:dyDescent="0.25">
      <c r="A10" s="19" t="s">
        <v>5</v>
      </c>
      <c r="B10" s="16"/>
      <c r="C10" s="27" t="s">
        <v>112</v>
      </c>
      <c r="D10" s="16"/>
      <c r="E10" s="16"/>
      <c r="F10" s="10"/>
      <c r="G10" s="10"/>
      <c r="H10" s="9"/>
      <c r="I10" s="26" t="s">
        <v>112</v>
      </c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34.5" customHeight="1" x14ac:dyDescent="0.25">
      <c r="A11" s="19" t="s">
        <v>6</v>
      </c>
      <c r="B11" s="16"/>
      <c r="C11" s="10"/>
      <c r="D11" s="10"/>
      <c r="E11" s="16"/>
      <c r="F11" s="9"/>
      <c r="G11" s="26" t="s">
        <v>112</v>
      </c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26" t="s">
        <v>137</v>
      </c>
      <c r="V11" s="9"/>
      <c r="W11" s="9"/>
      <c r="X11" s="10"/>
      <c r="Y11" s="10"/>
      <c r="Z11" s="26" t="s">
        <v>113</v>
      </c>
      <c r="AA11" s="9"/>
      <c r="AB11" s="9"/>
      <c r="AC11" s="9"/>
      <c r="AD11" s="9"/>
      <c r="AE11" s="10"/>
      <c r="AF11" s="22"/>
      <c r="AH11">
        <f t="shared" si="0"/>
        <v>3</v>
      </c>
    </row>
    <row r="12" spans="1:34" ht="31.5" customHeight="1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26" t="s">
        <v>113</v>
      </c>
      <c r="K12" s="26" t="s">
        <v>113</v>
      </c>
      <c r="L12" s="26" t="s">
        <v>113</v>
      </c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26" t="s">
        <v>185</v>
      </c>
      <c r="AA12" s="9"/>
      <c r="AB12" s="9"/>
      <c r="AC12" s="10"/>
      <c r="AD12" s="10"/>
      <c r="AE12" s="9"/>
      <c r="AF12" s="9"/>
      <c r="AH12">
        <f t="shared" si="0"/>
        <v>4</v>
      </c>
    </row>
    <row r="13" spans="1:34" ht="33.75" customHeight="1" x14ac:dyDescent="0.25">
      <c r="A13" s="19" t="s">
        <v>8</v>
      </c>
      <c r="B13" s="16"/>
      <c r="C13" s="28" t="s">
        <v>137</v>
      </c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26" t="s">
        <v>114</v>
      </c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32.25" customHeight="1" x14ac:dyDescent="0.25">
      <c r="A14" s="19" t="s">
        <v>9</v>
      </c>
      <c r="B14" s="16"/>
      <c r="C14" s="10"/>
      <c r="D14" s="10"/>
      <c r="E14" s="16"/>
      <c r="F14" s="9"/>
      <c r="G14" s="9"/>
      <c r="H14" s="26" t="s">
        <v>113</v>
      </c>
      <c r="I14" s="9"/>
      <c r="J14" s="10"/>
      <c r="K14" s="10"/>
      <c r="L14" s="26" t="s">
        <v>113</v>
      </c>
      <c r="M14" s="26" t="s">
        <v>113</v>
      </c>
      <c r="N14" s="26" t="s">
        <v>113</v>
      </c>
      <c r="O14" s="26" t="s">
        <v>113</v>
      </c>
      <c r="P14" s="10"/>
      <c r="Q14" s="10"/>
      <c r="R14" s="9"/>
      <c r="S14" s="9"/>
      <c r="T14" s="9"/>
      <c r="U14" s="9"/>
      <c r="V14" s="9"/>
      <c r="W14" s="9"/>
      <c r="X14" s="10"/>
      <c r="Y14" s="10"/>
      <c r="Z14" s="26" t="s">
        <v>116</v>
      </c>
      <c r="AA14" s="9"/>
      <c r="AB14" s="9"/>
      <c r="AC14" s="9"/>
      <c r="AD14" s="9"/>
      <c r="AE14" s="10"/>
      <c r="AF14" s="10"/>
      <c r="AH14">
        <f t="shared" si="0"/>
        <v>6</v>
      </c>
    </row>
    <row r="15" spans="1:34" ht="30" customHeight="1" x14ac:dyDescent="0.25">
      <c r="A15" s="19" t="s">
        <v>10</v>
      </c>
      <c r="B15" s="16"/>
      <c r="C15" s="16"/>
      <c r="D15" s="16"/>
      <c r="E15" s="26" t="s">
        <v>113</v>
      </c>
      <c r="F15" s="9"/>
      <c r="G15" s="10"/>
      <c r="H15" s="10"/>
      <c r="I15" s="9"/>
      <c r="J15" s="9"/>
      <c r="K15" s="9"/>
      <c r="L15" s="26" t="s">
        <v>137</v>
      </c>
      <c r="M15" s="9"/>
      <c r="N15" s="10"/>
      <c r="O15" s="10"/>
      <c r="P15" s="9"/>
      <c r="Q15" s="9"/>
      <c r="R15" s="26" t="s">
        <v>113</v>
      </c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26" t="s">
        <v>114</v>
      </c>
      <c r="AE15" s="26" t="s">
        <v>116</v>
      </c>
      <c r="AF15" s="9"/>
      <c r="AH15">
        <f t="shared" si="0"/>
        <v>5</v>
      </c>
    </row>
    <row r="16" spans="1:34" ht="30" customHeight="1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26" t="s">
        <v>178</v>
      </c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26" t="s">
        <v>114</v>
      </c>
      <c r="AB16" s="9"/>
      <c r="AC16" s="9"/>
      <c r="AD16" s="9"/>
      <c r="AE16" s="9"/>
      <c r="AF16" s="22"/>
      <c r="AH16">
        <f t="shared" si="0"/>
        <v>2</v>
      </c>
    </row>
    <row r="17" spans="1:34" ht="30" customHeight="1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30.75" customHeight="1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26" t="s">
        <v>179</v>
      </c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26" t="s">
        <v>114</v>
      </c>
      <c r="AF18" s="22"/>
      <c r="AH18">
        <f t="shared" si="0"/>
        <v>2</v>
      </c>
    </row>
    <row r="19" spans="1:34" ht="30.75" customHeight="1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44767</v>
      </c>
      <c r="B23" s="51"/>
      <c r="C23" s="51"/>
      <c r="D23" s="16"/>
      <c r="E23" s="51"/>
      <c r="F23" s="51"/>
      <c r="G23" s="16"/>
      <c r="H23" s="52" t="s">
        <v>201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5" width="9.81640625" customWidth="1"/>
    <col min="16" max="16" width="7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542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41</v>
      </c>
      <c r="B1" s="50">
        <f>A1/260</f>
        <v>0.15769230769230769</v>
      </c>
      <c r="C1" s="50">
        <f>1-B1</f>
        <v>0.84230769230769231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40</v>
      </c>
      <c r="E3" s="4" t="s">
        <v>41</v>
      </c>
      <c r="F3" s="4"/>
      <c r="G3" s="4"/>
      <c r="H3" s="4"/>
      <c r="I3" s="4"/>
      <c r="J3" s="4"/>
      <c r="N3" t="s">
        <v>2</v>
      </c>
      <c r="O3" s="4"/>
      <c r="P3" s="23">
        <v>42912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26" t="s">
        <v>114</v>
      </c>
      <c r="H8" s="9"/>
      <c r="I8" s="10"/>
      <c r="J8" s="10"/>
      <c r="K8" s="26" t="s">
        <v>116</v>
      </c>
      <c r="L8" s="26" t="s">
        <v>116</v>
      </c>
      <c r="M8" s="26" t="s">
        <v>116</v>
      </c>
      <c r="N8" s="26" t="s">
        <v>116</v>
      </c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26" t="s">
        <v>112</v>
      </c>
      <c r="L9" s="9"/>
      <c r="M9" s="10"/>
      <c r="N9" s="10"/>
      <c r="O9" s="9"/>
      <c r="P9" s="9"/>
      <c r="Q9" s="9"/>
      <c r="R9" s="9"/>
      <c r="S9" s="9"/>
      <c r="T9" s="10"/>
      <c r="U9" s="10"/>
      <c r="V9" s="26" t="s">
        <v>114</v>
      </c>
      <c r="W9" s="26" t="s">
        <v>114</v>
      </c>
      <c r="X9" s="26" t="s">
        <v>114</v>
      </c>
      <c r="Y9" s="26" t="s">
        <v>111</v>
      </c>
      <c r="Z9" s="9"/>
      <c r="AA9" s="10"/>
      <c r="AB9" s="10"/>
      <c r="AC9" s="9"/>
      <c r="AD9" s="22"/>
      <c r="AE9" s="22"/>
      <c r="AF9" s="22"/>
      <c r="AH9">
        <f t="shared" ref="AH9:AH19" si="0">COUNTA(B9:AF9)</f>
        <v>5</v>
      </c>
    </row>
    <row r="10" spans="1:34" ht="15.5" x14ac:dyDescent="0.25">
      <c r="A10" s="19" t="s">
        <v>5</v>
      </c>
      <c r="B10" s="16"/>
      <c r="C10" s="16"/>
      <c r="D10" s="27" t="s">
        <v>113</v>
      </c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26" t="s">
        <v>114</v>
      </c>
      <c r="AD10" s="9"/>
      <c r="AE10" s="9"/>
      <c r="AF10" s="26" t="s">
        <v>114</v>
      </c>
      <c r="AH10">
        <f t="shared" si="0"/>
        <v>3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26" t="s">
        <v>114</v>
      </c>
      <c r="U11" s="26" t="s">
        <v>116</v>
      </c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26" t="s">
        <v>114</v>
      </c>
      <c r="K12" s="26" t="s">
        <v>114</v>
      </c>
      <c r="L12" s="26" t="s">
        <v>116</v>
      </c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26" t="s">
        <v>114</v>
      </c>
      <c r="Q13" s="26" t="s">
        <v>116</v>
      </c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26" t="s">
        <v>113</v>
      </c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26" t="s">
        <v>114</v>
      </c>
      <c r="D15" s="16"/>
      <c r="E15" s="16"/>
      <c r="F15" s="9"/>
      <c r="G15" s="10"/>
      <c r="H15" s="10"/>
      <c r="I15" s="26" t="s">
        <v>178</v>
      </c>
      <c r="J15" s="26" t="s">
        <v>113</v>
      </c>
      <c r="K15" s="26" t="s">
        <v>113</v>
      </c>
      <c r="L15" s="9"/>
      <c r="M15" s="9"/>
      <c r="N15" s="10"/>
      <c r="O15" s="10"/>
      <c r="P15" s="9"/>
      <c r="Q15" s="9"/>
      <c r="R15" s="9"/>
      <c r="S15" s="26" t="s">
        <v>114</v>
      </c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26" t="s">
        <v>114</v>
      </c>
      <c r="AH15">
        <f t="shared" si="0"/>
        <v>6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26" t="s">
        <v>114</v>
      </c>
      <c r="AB16" s="26" t="s">
        <v>113</v>
      </c>
      <c r="AC16" s="26" t="s">
        <v>116</v>
      </c>
      <c r="AD16" s="9"/>
      <c r="AE16" s="9"/>
      <c r="AF16" s="22"/>
      <c r="AH16">
        <f t="shared" si="0"/>
        <v>3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26" t="s">
        <v>113</v>
      </c>
      <c r="V17" s="9"/>
      <c r="W17" s="10"/>
      <c r="X17" s="10"/>
      <c r="Y17" s="26" t="s">
        <v>114</v>
      </c>
      <c r="Z17" s="26" t="s">
        <v>116</v>
      </c>
      <c r="AA17" s="26" t="s">
        <v>116</v>
      </c>
      <c r="AB17" s="9"/>
      <c r="AC17" s="9"/>
      <c r="AD17" s="10"/>
      <c r="AE17" s="10"/>
      <c r="AF17" s="26" t="s">
        <v>114</v>
      </c>
      <c r="AH17">
        <f t="shared" si="0"/>
        <v>5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26" t="s">
        <v>114</v>
      </c>
      <c r="K18" s="9"/>
      <c r="L18" s="9"/>
      <c r="M18" s="10"/>
      <c r="N18" s="10"/>
      <c r="O18" s="26" t="s">
        <v>114</v>
      </c>
      <c r="P18" s="26" t="s">
        <v>116</v>
      </c>
      <c r="Q18" s="26" t="s">
        <v>116</v>
      </c>
      <c r="R18" s="26" t="s">
        <v>116</v>
      </c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5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26" t="s">
        <v>256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44602</v>
      </c>
      <c r="B23" s="51"/>
      <c r="C23" s="51"/>
      <c r="D23" s="16"/>
      <c r="E23" s="51"/>
      <c r="F23" s="51"/>
      <c r="G23" s="16"/>
      <c r="H23" s="52" t="s">
        <v>123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AH33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542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39</v>
      </c>
      <c r="B1" s="50">
        <f>A1/260</f>
        <v>0.15</v>
      </c>
      <c r="C1" s="50">
        <f>1-B1</f>
        <v>0.85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42</v>
      </c>
      <c r="E3" s="4"/>
      <c r="F3" s="4"/>
      <c r="G3" s="4"/>
      <c r="H3" s="4"/>
      <c r="I3" s="4"/>
      <c r="J3" s="4"/>
      <c r="N3" t="s">
        <v>2</v>
      </c>
      <c r="O3" s="4"/>
      <c r="P3" s="23">
        <v>41656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26" t="s">
        <v>113</v>
      </c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113</v>
      </c>
      <c r="S8" s="9"/>
      <c r="T8" s="9"/>
      <c r="U8" s="9"/>
      <c r="V8" s="9"/>
      <c r="W8" s="10"/>
      <c r="X8" s="10"/>
      <c r="Y8" s="26" t="s">
        <v>114</v>
      </c>
      <c r="Z8" s="26" t="s">
        <v>114</v>
      </c>
      <c r="AA8" s="26" t="s">
        <v>114</v>
      </c>
      <c r="AB8" s="9"/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26" t="s">
        <v>113</v>
      </c>
      <c r="V11" s="26" t="s">
        <v>113</v>
      </c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26" t="s">
        <v>113</v>
      </c>
      <c r="I13" s="26" t="s">
        <v>113</v>
      </c>
      <c r="J13" s="26" t="s">
        <v>113</v>
      </c>
      <c r="K13" s="9"/>
      <c r="L13" s="10"/>
      <c r="M13" s="10"/>
      <c r="N13" s="26" t="s">
        <v>113</v>
      </c>
      <c r="O13" s="26" t="s">
        <v>113</v>
      </c>
      <c r="P13" s="26" t="s">
        <v>113</v>
      </c>
      <c r="Q13" s="9"/>
      <c r="R13" s="9"/>
      <c r="S13" s="10"/>
      <c r="T13" s="10"/>
      <c r="U13" s="26" t="s">
        <v>116</v>
      </c>
      <c r="V13" s="26" t="s">
        <v>116</v>
      </c>
      <c r="W13" s="26" t="s">
        <v>116</v>
      </c>
      <c r="X13" s="26" t="s">
        <v>116</v>
      </c>
      <c r="Y13" s="9"/>
      <c r="Z13" s="10"/>
      <c r="AA13" s="10"/>
      <c r="AB13" s="9"/>
      <c r="AC13" s="9"/>
      <c r="AD13" s="9"/>
      <c r="AE13" s="9"/>
      <c r="AF13" s="22"/>
      <c r="AH13">
        <f t="shared" si="0"/>
        <v>10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26" t="s">
        <v>114</v>
      </c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26" t="s">
        <v>204</v>
      </c>
      <c r="K15" s="26" t="s">
        <v>114</v>
      </c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116</v>
      </c>
      <c r="N16" s="26" t="s">
        <v>116</v>
      </c>
      <c r="O16" s="26" t="s">
        <v>116</v>
      </c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3</v>
      </c>
    </row>
    <row r="17" spans="1:34" ht="15.5" x14ac:dyDescent="0.3">
      <c r="A17" s="19" t="s">
        <v>12</v>
      </c>
      <c r="B17" s="10"/>
      <c r="C17" s="10"/>
      <c r="D17" s="36" t="s">
        <v>116</v>
      </c>
      <c r="E17" s="36" t="s">
        <v>116</v>
      </c>
      <c r="F17" s="36" t="s">
        <v>116</v>
      </c>
      <c r="G17" s="36" t="s">
        <v>116</v>
      </c>
      <c r="H17" s="9"/>
      <c r="I17" s="10"/>
      <c r="J17" s="10"/>
      <c r="K17" s="36" t="s">
        <v>116</v>
      </c>
      <c r="L17" s="36" t="s">
        <v>116</v>
      </c>
      <c r="M17" s="36" t="s">
        <v>116</v>
      </c>
      <c r="N17" s="36" t="s">
        <v>116</v>
      </c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8</v>
      </c>
    </row>
    <row r="18" spans="1:34" ht="15.5" x14ac:dyDescent="0.3">
      <c r="A18" s="19" t="s">
        <v>13</v>
      </c>
      <c r="B18" s="16"/>
      <c r="C18" s="16"/>
      <c r="D18" s="16"/>
      <c r="E18" s="16"/>
      <c r="F18" s="10"/>
      <c r="G18" s="10"/>
      <c r="H18" s="26" t="s">
        <v>114</v>
      </c>
      <c r="I18" s="36" t="s">
        <v>116</v>
      </c>
      <c r="J18" s="36" t="s">
        <v>116</v>
      </c>
      <c r="K18" s="36" t="s">
        <v>116</v>
      </c>
      <c r="L18" s="35"/>
      <c r="M18" s="10"/>
      <c r="N18" s="10"/>
      <c r="O18" s="9"/>
      <c r="P18" s="9"/>
      <c r="Q18" s="9"/>
      <c r="R18" s="9"/>
      <c r="S18" s="9"/>
      <c r="T18" s="10"/>
      <c r="U18" s="10"/>
      <c r="V18" s="9"/>
      <c r="W18" s="26" t="s">
        <v>178</v>
      </c>
      <c r="X18" s="26" t="s">
        <v>116</v>
      </c>
      <c r="Y18" s="9"/>
      <c r="Z18" s="9"/>
      <c r="AA18" s="10"/>
      <c r="AB18" s="10"/>
      <c r="AC18" s="26" t="s">
        <v>178</v>
      </c>
      <c r="AD18" s="9"/>
      <c r="AE18" s="9"/>
      <c r="AF18" s="22"/>
      <c r="AH18">
        <f t="shared" si="0"/>
        <v>7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26" t="s">
        <v>114</v>
      </c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52" t="s">
        <v>118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33" spans="15:15" x14ac:dyDescent="0.25">
      <c r="O33" t="s">
        <v>116</v>
      </c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3" width="7.81640625" customWidth="1"/>
    <col min="4" max="4" width="7.81640625" style="1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5" width="9.81640625" customWidth="1"/>
    <col min="16" max="16" width="7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35</v>
      </c>
      <c r="B1" s="50">
        <f>A1/260</f>
        <v>0.13461538461538461</v>
      </c>
      <c r="C1" s="50">
        <f>1-B1</f>
        <v>0.86538461538461542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39" t="s">
        <v>43</v>
      </c>
      <c r="E3" s="4"/>
      <c r="F3" s="4"/>
      <c r="G3" s="4"/>
      <c r="H3" s="4"/>
      <c r="I3" s="4"/>
      <c r="J3" s="4"/>
      <c r="N3" t="s">
        <v>2</v>
      </c>
      <c r="O3" s="4"/>
      <c r="P3" s="23" t="s">
        <v>44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26" t="s">
        <v>112</v>
      </c>
      <c r="H8" s="9"/>
      <c r="I8" s="10"/>
      <c r="J8" s="10"/>
      <c r="K8" s="26" t="s">
        <v>111</v>
      </c>
      <c r="L8" s="9"/>
      <c r="M8" s="26" t="s">
        <v>112</v>
      </c>
      <c r="N8" s="26" t="s">
        <v>116</v>
      </c>
      <c r="O8" s="9"/>
      <c r="P8" s="10"/>
      <c r="Q8" s="10"/>
      <c r="R8" s="26" t="s">
        <v>116</v>
      </c>
      <c r="S8" s="26" t="s">
        <v>116</v>
      </c>
      <c r="T8" s="26" t="s">
        <v>116</v>
      </c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7</v>
      </c>
    </row>
    <row r="9" spans="1:34" ht="15.5" x14ac:dyDescent="0.25">
      <c r="A9" s="19" t="s">
        <v>4</v>
      </c>
      <c r="B9" s="16"/>
      <c r="C9" s="16"/>
      <c r="D9" s="26" t="s">
        <v>113</v>
      </c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26" t="s">
        <v>114</v>
      </c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27" t="s">
        <v>112</v>
      </c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26" t="s">
        <v>125</v>
      </c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26" t="s">
        <v>113</v>
      </c>
      <c r="T11" s="9"/>
      <c r="U11" s="9"/>
      <c r="V11" s="9"/>
      <c r="W11" s="9"/>
      <c r="X11" s="10"/>
      <c r="Y11" s="10"/>
      <c r="Z11" s="26" t="s">
        <v>114</v>
      </c>
      <c r="AA11" s="9"/>
      <c r="AB11" s="9"/>
      <c r="AC11" s="26" t="s">
        <v>114</v>
      </c>
      <c r="AD11" s="9"/>
      <c r="AE11" s="10"/>
      <c r="AF11" s="22"/>
      <c r="AH11">
        <f t="shared" si="0"/>
        <v>3</v>
      </c>
    </row>
    <row r="12" spans="1:34" ht="15.5" x14ac:dyDescent="0.25">
      <c r="A12" s="19" t="s">
        <v>7</v>
      </c>
      <c r="B12" s="16"/>
      <c r="C12" s="16"/>
      <c r="D12" s="34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26" t="s">
        <v>114</v>
      </c>
      <c r="R12" s="26" t="s">
        <v>178</v>
      </c>
      <c r="S12" s="26" t="s">
        <v>114</v>
      </c>
      <c r="T12" s="26" t="s">
        <v>175</v>
      </c>
      <c r="U12" s="9"/>
      <c r="V12" s="10"/>
      <c r="W12" s="10"/>
      <c r="X12" s="9"/>
      <c r="Y12" s="9"/>
      <c r="Z12" s="26" t="s">
        <v>179</v>
      </c>
      <c r="AA12" s="26" t="s">
        <v>114</v>
      </c>
      <c r="AB12" s="9"/>
      <c r="AC12" s="10"/>
      <c r="AD12" s="10"/>
      <c r="AE12" s="9"/>
      <c r="AF12" s="9"/>
      <c r="AH12">
        <f t="shared" si="0"/>
        <v>6</v>
      </c>
    </row>
    <row r="13" spans="1:34" ht="15.5" x14ac:dyDescent="0.25">
      <c r="A13" s="19" t="s">
        <v>8</v>
      </c>
      <c r="B13" s="16"/>
      <c r="C13" s="16"/>
      <c r="D13" s="29" t="s">
        <v>114</v>
      </c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26" t="s">
        <v>114</v>
      </c>
      <c r="Q13" s="9"/>
      <c r="R13" s="9"/>
      <c r="S13" s="10"/>
      <c r="T13" s="10"/>
      <c r="U13" s="9"/>
      <c r="V13" s="9"/>
      <c r="W13" s="9"/>
      <c r="X13" s="26" t="s">
        <v>114</v>
      </c>
      <c r="Y13" s="9"/>
      <c r="Z13" s="10"/>
      <c r="AA13" s="10"/>
      <c r="AB13" s="9"/>
      <c r="AC13" s="9"/>
      <c r="AD13" s="9"/>
      <c r="AE13" s="9"/>
      <c r="AF13" s="22"/>
      <c r="AH13">
        <f t="shared" si="0"/>
        <v>3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26" t="s">
        <v>178</v>
      </c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26" t="s">
        <v>141</v>
      </c>
      <c r="AB14" s="26" t="s">
        <v>141</v>
      </c>
      <c r="AC14" s="26" t="s">
        <v>141</v>
      </c>
      <c r="AD14" s="9"/>
      <c r="AE14" s="10"/>
      <c r="AF14" s="10"/>
      <c r="AH14">
        <f t="shared" si="0"/>
        <v>4</v>
      </c>
    </row>
    <row r="15" spans="1:34" ht="15.5" x14ac:dyDescent="0.25">
      <c r="A15" s="19" t="s">
        <v>10</v>
      </c>
      <c r="B15" s="16"/>
      <c r="C15" s="16"/>
      <c r="D15" s="34"/>
      <c r="E15" s="16"/>
      <c r="F15" s="9"/>
      <c r="G15" s="10"/>
      <c r="H15" s="10"/>
      <c r="I15" s="9"/>
      <c r="J15" s="9"/>
      <c r="K15" s="9"/>
      <c r="L15" s="26" t="s">
        <v>114</v>
      </c>
      <c r="M15" s="9"/>
      <c r="N15" s="10"/>
      <c r="O15" s="10"/>
      <c r="P15" s="9"/>
      <c r="Q15" s="9"/>
      <c r="R15" s="9" t="s">
        <v>208</v>
      </c>
      <c r="S15" s="9"/>
      <c r="T15" s="9"/>
      <c r="U15" s="10"/>
      <c r="V15" s="10"/>
      <c r="W15" s="9"/>
      <c r="X15" s="9"/>
      <c r="Y15" s="9"/>
      <c r="Z15" s="26" t="s">
        <v>114</v>
      </c>
      <c r="AA15" s="9"/>
      <c r="AB15" s="10"/>
      <c r="AC15" s="10"/>
      <c r="AD15" s="9"/>
      <c r="AE15" s="9"/>
      <c r="AF15" s="9"/>
      <c r="AH15">
        <f t="shared" si="0"/>
        <v>3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26" t="s">
        <v>114</v>
      </c>
      <c r="I16" s="9"/>
      <c r="J16" s="9"/>
      <c r="K16" s="10"/>
      <c r="L16" s="10"/>
      <c r="M16" s="9"/>
      <c r="N16" s="26" t="s">
        <v>179</v>
      </c>
      <c r="O16" s="26" t="s">
        <v>114</v>
      </c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3</v>
      </c>
    </row>
    <row r="17" spans="1:34" ht="15.5" x14ac:dyDescent="0.25">
      <c r="A17" s="19" t="s">
        <v>12</v>
      </c>
      <c r="B17" s="10"/>
      <c r="C17" s="10"/>
      <c r="D17" s="34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26" t="s">
        <v>114</v>
      </c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34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26" t="s">
        <v>114</v>
      </c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3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44567</v>
      </c>
      <c r="B23" s="51"/>
      <c r="C23" s="51"/>
      <c r="D23" s="34"/>
      <c r="E23" s="51"/>
      <c r="F23" s="51"/>
      <c r="G23" s="16"/>
      <c r="H23" s="52" t="s">
        <v>122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>
        <v>44573</v>
      </c>
      <c r="B24" s="51"/>
      <c r="C24" s="51"/>
      <c r="D24" s="34"/>
      <c r="E24" s="51"/>
      <c r="F24" s="51"/>
      <c r="G24" s="16"/>
      <c r="H24" s="52" t="s">
        <v>124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25">
        <v>44623</v>
      </c>
      <c r="B25" s="51"/>
      <c r="C25" s="51"/>
      <c r="D25" s="34"/>
      <c r="E25" s="51"/>
      <c r="F25" s="51"/>
      <c r="G25" s="16"/>
      <c r="H25" s="52" t="s">
        <v>122</v>
      </c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25">
        <v>44713</v>
      </c>
      <c r="B26" s="51"/>
      <c r="C26" s="51"/>
      <c r="D26" s="34"/>
      <c r="E26" s="51" t="s">
        <v>164</v>
      </c>
      <c r="F26" s="51"/>
      <c r="G26" s="16"/>
      <c r="H26" s="52" t="s">
        <v>191</v>
      </c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34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34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95</v>
      </c>
      <c r="B1" s="50">
        <f>A1/260</f>
        <v>0.36538461538461536</v>
      </c>
      <c r="C1" s="50">
        <f>1-B1</f>
        <v>0.63461538461538458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45</v>
      </c>
      <c r="E3" s="4"/>
      <c r="F3" s="4"/>
      <c r="G3" s="4"/>
      <c r="H3" s="4"/>
      <c r="I3" s="4"/>
      <c r="J3" s="4"/>
      <c r="N3" t="s">
        <v>2</v>
      </c>
      <c r="O3" s="4"/>
      <c r="P3" s="23">
        <v>44459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48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26" t="s">
        <v>114</v>
      </c>
      <c r="L8" s="26" t="s">
        <v>116</v>
      </c>
      <c r="M8" s="26" t="s">
        <v>116</v>
      </c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26" t="s">
        <v>125</v>
      </c>
      <c r="AA8" s="26" t="s">
        <v>114</v>
      </c>
      <c r="AB8" s="26" t="s">
        <v>114</v>
      </c>
      <c r="AC8" s="9"/>
      <c r="AD8" s="10"/>
      <c r="AE8" s="10"/>
      <c r="AF8" s="9"/>
      <c r="AH8">
        <f>COUNTA(B8:AF8)</f>
        <v>6</v>
      </c>
    </row>
    <row r="9" spans="1:34" ht="15.5" x14ac:dyDescent="0.25">
      <c r="A9" s="19" t="s">
        <v>4</v>
      </c>
      <c r="B9" s="27" t="s">
        <v>114</v>
      </c>
      <c r="C9" s="27" t="s">
        <v>116</v>
      </c>
      <c r="D9" s="26" t="s">
        <v>116</v>
      </c>
      <c r="E9" s="9"/>
      <c r="F9" s="10"/>
      <c r="G9" s="10"/>
      <c r="H9" s="9"/>
      <c r="I9" s="9"/>
      <c r="J9" s="9"/>
      <c r="K9" s="9"/>
      <c r="L9" s="9"/>
      <c r="M9" s="10"/>
      <c r="N9" s="10"/>
      <c r="O9" s="26" t="s">
        <v>114</v>
      </c>
      <c r="P9" s="9"/>
      <c r="Q9" s="9"/>
      <c r="R9" s="9"/>
      <c r="S9" s="9"/>
      <c r="T9" s="10"/>
      <c r="U9" s="10"/>
      <c r="V9" s="9"/>
      <c r="W9" s="26" t="s">
        <v>125</v>
      </c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5</v>
      </c>
    </row>
    <row r="10" spans="1:34" ht="15.5" x14ac:dyDescent="0.25">
      <c r="A10" s="19" t="s">
        <v>5</v>
      </c>
      <c r="B10" s="16"/>
      <c r="C10" s="27" t="s">
        <v>112</v>
      </c>
      <c r="D10" s="27" t="s">
        <v>125</v>
      </c>
      <c r="E10" s="16"/>
      <c r="F10" s="10"/>
      <c r="G10" s="10"/>
      <c r="H10" s="26" t="s">
        <v>114</v>
      </c>
      <c r="I10" s="9"/>
      <c r="J10" s="26" t="s">
        <v>114</v>
      </c>
      <c r="K10" s="26" t="s">
        <v>116</v>
      </c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26" t="s">
        <v>112</v>
      </c>
      <c r="Y10" s="9"/>
      <c r="Z10" s="9"/>
      <c r="AA10" s="10"/>
      <c r="AB10" s="10"/>
      <c r="AC10" s="26" t="s">
        <v>125</v>
      </c>
      <c r="AD10" s="9"/>
      <c r="AE10" s="26" t="s">
        <v>127</v>
      </c>
      <c r="AF10" s="9"/>
      <c r="AH10">
        <f t="shared" si="0"/>
        <v>8</v>
      </c>
    </row>
    <row r="11" spans="1:34" ht="15.5" x14ac:dyDescent="0.25">
      <c r="A11" s="19" t="s">
        <v>6</v>
      </c>
      <c r="B11" s="16"/>
      <c r="C11" s="10"/>
      <c r="D11" s="10"/>
      <c r="E11" s="27" t="s">
        <v>112</v>
      </c>
      <c r="F11" s="26" t="s">
        <v>116</v>
      </c>
      <c r="G11" s="26" t="s">
        <v>116</v>
      </c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26" t="s">
        <v>138</v>
      </c>
      <c r="V11" s="26" t="s">
        <v>114</v>
      </c>
      <c r="W11" s="9"/>
      <c r="X11" s="10"/>
      <c r="Y11" s="10"/>
      <c r="Z11" s="9"/>
      <c r="AA11" s="9"/>
      <c r="AB11" s="26" t="s">
        <v>114</v>
      </c>
      <c r="AC11" s="9"/>
      <c r="AD11" s="9"/>
      <c r="AE11" s="10"/>
      <c r="AF11" s="22"/>
      <c r="AH11">
        <f t="shared" si="0"/>
        <v>6</v>
      </c>
    </row>
    <row r="12" spans="1:34" ht="15.5" x14ac:dyDescent="0.25">
      <c r="A12" s="19" t="s">
        <v>7</v>
      </c>
      <c r="B12" s="16"/>
      <c r="C12" s="16"/>
      <c r="D12" s="26" t="s">
        <v>139</v>
      </c>
      <c r="E12" s="26" t="s">
        <v>173</v>
      </c>
      <c r="F12" s="26" t="s">
        <v>174</v>
      </c>
      <c r="G12" s="9"/>
      <c r="H12" s="10"/>
      <c r="I12" s="10"/>
      <c r="J12" s="9"/>
      <c r="K12" s="9"/>
      <c r="L12" s="26" t="s">
        <v>179</v>
      </c>
      <c r="M12" s="9"/>
      <c r="N12" s="9"/>
      <c r="O12" s="10"/>
      <c r="P12" s="10"/>
      <c r="Q12" s="26" t="s">
        <v>179</v>
      </c>
      <c r="R12" s="9"/>
      <c r="S12" s="26" t="s">
        <v>114</v>
      </c>
      <c r="T12" s="26" t="s">
        <v>116</v>
      </c>
      <c r="U12" s="9"/>
      <c r="V12" s="10"/>
      <c r="W12" s="10"/>
      <c r="X12" s="9"/>
      <c r="Y12" s="9"/>
      <c r="Z12" s="26" t="s">
        <v>137</v>
      </c>
      <c r="AA12" s="9"/>
      <c r="AB12" s="9"/>
      <c r="AC12" s="10"/>
      <c r="AD12" s="10"/>
      <c r="AE12" s="9"/>
      <c r="AF12" s="26" t="s">
        <v>113</v>
      </c>
      <c r="AH12">
        <f t="shared" si="0"/>
        <v>9</v>
      </c>
    </row>
    <row r="13" spans="1:34" ht="15.5" x14ac:dyDescent="0.25">
      <c r="A13" s="19" t="s">
        <v>8</v>
      </c>
      <c r="B13" s="28" t="s">
        <v>178</v>
      </c>
      <c r="C13" s="28" t="s">
        <v>179</v>
      </c>
      <c r="D13" s="16"/>
      <c r="E13" s="10"/>
      <c r="F13" s="10"/>
      <c r="G13" s="26" t="s">
        <v>114</v>
      </c>
      <c r="H13" s="26" t="s">
        <v>116</v>
      </c>
      <c r="I13" s="26" t="s">
        <v>116</v>
      </c>
      <c r="J13" s="26" t="s">
        <v>116</v>
      </c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26" t="s">
        <v>179</v>
      </c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7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26" t="s">
        <v>184</v>
      </c>
      <c r="I14" s="9"/>
      <c r="J14" s="10"/>
      <c r="K14" s="10"/>
      <c r="L14" s="9"/>
      <c r="M14" s="9"/>
      <c r="N14" s="9"/>
      <c r="O14" s="9"/>
      <c r="P14" s="10"/>
      <c r="Q14" s="10"/>
      <c r="R14" s="10"/>
      <c r="S14" s="26" t="s">
        <v>179</v>
      </c>
      <c r="T14" s="9"/>
      <c r="U14" s="26" t="s">
        <v>116</v>
      </c>
      <c r="V14" s="9"/>
      <c r="W14" s="9"/>
      <c r="X14" s="10"/>
      <c r="Y14" s="10"/>
      <c r="Z14" s="9"/>
      <c r="AA14" s="26" t="s">
        <v>114</v>
      </c>
      <c r="AB14" s="26" t="s">
        <v>116</v>
      </c>
      <c r="AC14" s="26" t="s">
        <v>116</v>
      </c>
      <c r="AD14" s="9"/>
      <c r="AE14" s="10"/>
      <c r="AF14" s="10"/>
      <c r="AH14">
        <f t="shared" si="0"/>
        <v>6</v>
      </c>
    </row>
    <row r="15" spans="1:34" ht="15.5" x14ac:dyDescent="0.25">
      <c r="A15" s="19" t="s">
        <v>10</v>
      </c>
      <c r="B15" s="16" t="s">
        <v>178</v>
      </c>
      <c r="C15" s="26" t="s">
        <v>114</v>
      </c>
      <c r="D15" s="28" t="s">
        <v>116</v>
      </c>
      <c r="E15" s="28" t="s">
        <v>116</v>
      </c>
      <c r="F15" s="9"/>
      <c r="G15" s="10"/>
      <c r="H15" s="10"/>
      <c r="I15" s="9"/>
      <c r="J15" s="26" t="s">
        <v>179</v>
      </c>
      <c r="K15" s="9"/>
      <c r="L15" s="26" t="s">
        <v>114</v>
      </c>
      <c r="M15" s="9"/>
      <c r="N15" s="10"/>
      <c r="O15" s="10"/>
      <c r="P15" s="9"/>
      <c r="Q15" s="26" t="s">
        <v>147</v>
      </c>
      <c r="R15" s="26" t="s">
        <v>205</v>
      </c>
      <c r="S15" s="9"/>
      <c r="T15" s="9"/>
      <c r="U15" s="10"/>
      <c r="V15" s="10"/>
      <c r="W15" s="26" t="s">
        <v>140</v>
      </c>
      <c r="X15" s="26" t="s">
        <v>209</v>
      </c>
      <c r="Y15" s="9"/>
      <c r="Z15" s="9"/>
      <c r="AA15" s="9"/>
      <c r="AB15" s="10"/>
      <c r="AC15" s="10"/>
      <c r="AD15" s="26" t="s">
        <v>113</v>
      </c>
      <c r="AE15" s="26" t="s">
        <v>140</v>
      </c>
      <c r="AF15" s="26" t="s">
        <v>140</v>
      </c>
      <c r="AH15">
        <f t="shared" si="0"/>
        <v>13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26" t="s">
        <v>212</v>
      </c>
      <c r="I16" s="26" t="s">
        <v>140</v>
      </c>
      <c r="J16" s="9"/>
      <c r="K16" s="10"/>
      <c r="L16" s="10"/>
      <c r="M16" s="9"/>
      <c r="N16" s="9"/>
      <c r="O16" s="9"/>
      <c r="P16" s="26" t="s">
        <v>212</v>
      </c>
      <c r="Q16" s="9"/>
      <c r="R16" s="10"/>
      <c r="S16" s="10"/>
      <c r="T16" s="26" t="s">
        <v>113</v>
      </c>
      <c r="U16" s="26" t="s">
        <v>113</v>
      </c>
      <c r="V16" s="26" t="s">
        <v>113</v>
      </c>
      <c r="W16" s="26" t="s">
        <v>113</v>
      </c>
      <c r="X16" s="9"/>
      <c r="Y16" s="10"/>
      <c r="Z16" s="10"/>
      <c r="AA16" s="26" t="s">
        <v>140</v>
      </c>
      <c r="AB16" s="26" t="s">
        <v>140</v>
      </c>
      <c r="AC16" s="26" t="s">
        <v>140</v>
      </c>
      <c r="AD16" s="26" t="s">
        <v>140</v>
      </c>
      <c r="AE16" s="9"/>
      <c r="AF16" s="22"/>
      <c r="AH16">
        <f t="shared" si="0"/>
        <v>11</v>
      </c>
    </row>
    <row r="17" spans="1:34" ht="15.5" x14ac:dyDescent="0.3">
      <c r="A17" s="19" t="s">
        <v>12</v>
      </c>
      <c r="B17" s="10"/>
      <c r="C17" s="10"/>
      <c r="D17" s="36" t="s">
        <v>140</v>
      </c>
      <c r="E17" s="36" t="s">
        <v>140</v>
      </c>
      <c r="F17" s="36" t="s">
        <v>140</v>
      </c>
      <c r="G17" s="36" t="s">
        <v>140</v>
      </c>
      <c r="H17" s="9"/>
      <c r="I17" s="10"/>
      <c r="J17" s="10"/>
      <c r="K17" s="36" t="s">
        <v>140</v>
      </c>
      <c r="L17" s="36" t="s">
        <v>140</v>
      </c>
      <c r="M17" s="36" t="s">
        <v>140</v>
      </c>
      <c r="N17" s="36" t="s">
        <v>140</v>
      </c>
      <c r="O17" s="9"/>
      <c r="P17" s="10"/>
      <c r="Q17" s="10"/>
      <c r="R17" s="36" t="s">
        <v>140</v>
      </c>
      <c r="S17" s="36" t="s">
        <v>140</v>
      </c>
      <c r="T17" s="36" t="s">
        <v>140</v>
      </c>
      <c r="U17" s="36" t="s">
        <v>140</v>
      </c>
      <c r="V17" s="9"/>
      <c r="W17" s="10"/>
      <c r="X17" s="10"/>
      <c r="Y17" s="36" t="s">
        <v>140</v>
      </c>
      <c r="Z17" s="36" t="s">
        <v>140</v>
      </c>
      <c r="AA17" s="36" t="s">
        <v>140</v>
      </c>
      <c r="AB17" s="36" t="s">
        <v>140</v>
      </c>
      <c r="AC17" s="9"/>
      <c r="AD17" s="10"/>
      <c r="AE17" s="10"/>
      <c r="AF17" s="9"/>
      <c r="AH17">
        <f t="shared" si="0"/>
        <v>16</v>
      </c>
    </row>
    <row r="18" spans="1:34" ht="15.5" x14ac:dyDescent="0.3">
      <c r="A18" s="19" t="s">
        <v>13</v>
      </c>
      <c r="B18" s="36" t="s">
        <v>140</v>
      </c>
      <c r="C18" s="36" t="s">
        <v>140</v>
      </c>
      <c r="D18" s="36" t="s">
        <v>140</v>
      </c>
      <c r="E18" s="16"/>
      <c r="F18" s="10"/>
      <c r="G18" s="10"/>
      <c r="H18" s="9"/>
      <c r="I18" s="9"/>
      <c r="J18" s="26" t="s">
        <v>179</v>
      </c>
      <c r="K18" s="9"/>
      <c r="L18" s="9"/>
      <c r="M18" s="10"/>
      <c r="N18" s="10"/>
      <c r="O18" s="26" t="s">
        <v>114</v>
      </c>
      <c r="P18" s="26" t="s">
        <v>184</v>
      </c>
      <c r="Q18" s="9"/>
      <c r="R18" s="26" t="s">
        <v>114</v>
      </c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7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26" t="s">
        <v>114</v>
      </c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44622</v>
      </c>
      <c r="B23" s="61" t="s">
        <v>118</v>
      </c>
      <c r="C23" s="51"/>
      <c r="D23" s="16"/>
      <c r="E23" s="51"/>
      <c r="F23" s="51"/>
      <c r="G23" s="16"/>
      <c r="H23" s="52" t="s">
        <v>126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>
        <v>44643</v>
      </c>
      <c r="B24" s="61" t="s">
        <v>118</v>
      </c>
      <c r="C24" s="51"/>
      <c r="D24" s="16"/>
      <c r="E24" s="51"/>
      <c r="F24" s="51"/>
      <c r="G24" s="16"/>
      <c r="H24" s="52" t="s">
        <v>126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25">
        <v>44650</v>
      </c>
      <c r="B25" s="61" t="s">
        <v>118</v>
      </c>
      <c r="C25" s="51"/>
      <c r="D25" s="16"/>
      <c r="E25" s="51"/>
      <c r="F25" s="51"/>
      <c r="G25" s="16"/>
      <c r="H25" s="52" t="s">
        <v>128</v>
      </c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25">
        <v>44655</v>
      </c>
      <c r="B26" s="51"/>
      <c r="C26" s="51"/>
      <c r="D26" s="16"/>
      <c r="E26" s="51"/>
      <c r="F26" s="51"/>
      <c r="G26" s="16"/>
      <c r="H26" s="52" t="s">
        <v>120</v>
      </c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28</v>
      </c>
      <c r="B1" s="50">
        <f>A1/260</f>
        <v>0.1076923076923077</v>
      </c>
      <c r="C1" s="50">
        <f>1-B1</f>
        <v>0.89230769230769225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46</v>
      </c>
      <c r="E3" s="4"/>
      <c r="F3" s="4"/>
      <c r="G3" s="4"/>
      <c r="H3" s="4"/>
      <c r="I3" s="4"/>
      <c r="J3" s="4"/>
      <c r="N3" t="s">
        <v>2</v>
      </c>
      <c r="O3" s="4"/>
      <c r="P3" s="23">
        <v>44655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26" t="s">
        <v>114</v>
      </c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26" t="s">
        <v>114</v>
      </c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26" t="s">
        <v>179</v>
      </c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28" t="s">
        <v>184</v>
      </c>
      <c r="C13" s="16"/>
      <c r="D13" s="16"/>
      <c r="E13" s="10"/>
      <c r="F13" s="10"/>
      <c r="G13" s="9"/>
      <c r="H13" s="9"/>
      <c r="I13" s="9"/>
      <c r="J13" s="26" t="s">
        <v>114</v>
      </c>
      <c r="K13" s="9"/>
      <c r="L13" s="10"/>
      <c r="M13" s="10"/>
      <c r="N13" s="9"/>
      <c r="O13" s="9"/>
      <c r="P13" s="9"/>
      <c r="Q13" s="9"/>
      <c r="R13" s="9"/>
      <c r="S13" s="10"/>
      <c r="T13" s="10"/>
      <c r="U13" s="26" t="s">
        <v>116</v>
      </c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3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26" t="s">
        <v>198</v>
      </c>
      <c r="H14" s="9"/>
      <c r="I14" s="9"/>
      <c r="J14" s="10"/>
      <c r="K14" s="10"/>
      <c r="L14" s="9"/>
      <c r="M14" s="9"/>
      <c r="N14" s="26" t="s">
        <v>113</v>
      </c>
      <c r="O14" s="9"/>
      <c r="P14" s="10"/>
      <c r="Q14" s="10"/>
      <c r="R14" s="10"/>
      <c r="S14" s="9"/>
      <c r="T14" s="26" t="s">
        <v>167</v>
      </c>
      <c r="U14" s="9"/>
      <c r="V14" s="9"/>
      <c r="W14" s="9"/>
      <c r="X14" s="10"/>
      <c r="Y14" s="10"/>
      <c r="Z14" s="9"/>
      <c r="AA14" s="26" t="s">
        <v>167</v>
      </c>
      <c r="AB14" s="9"/>
      <c r="AC14" s="26" t="s">
        <v>113</v>
      </c>
      <c r="AD14" s="9"/>
      <c r="AE14" s="10"/>
      <c r="AF14" s="10"/>
      <c r="AH14">
        <f t="shared" si="0"/>
        <v>5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26" t="s">
        <v>167</v>
      </c>
      <c r="K15" s="9"/>
      <c r="L15" s="9"/>
      <c r="M15" s="9"/>
      <c r="N15" s="10"/>
      <c r="O15" s="10"/>
      <c r="P15" s="9"/>
      <c r="Q15" s="26" t="s">
        <v>176</v>
      </c>
      <c r="R15" s="26" t="s">
        <v>179</v>
      </c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26" t="s">
        <v>114</v>
      </c>
      <c r="AF15" s="26" t="s">
        <v>179</v>
      </c>
      <c r="AH15">
        <f t="shared" si="0"/>
        <v>5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26" t="s">
        <v>114</v>
      </c>
      <c r="O16" s="26" t="s">
        <v>179</v>
      </c>
      <c r="P16" s="9"/>
      <c r="Q16" s="9"/>
      <c r="R16" s="10"/>
      <c r="S16" s="10"/>
      <c r="T16" s="9"/>
      <c r="U16" s="9"/>
      <c r="V16" s="26" t="s">
        <v>178</v>
      </c>
      <c r="W16" s="9"/>
      <c r="X16" s="9"/>
      <c r="Y16" s="10"/>
      <c r="Z16" s="10"/>
      <c r="AA16" s="9"/>
      <c r="AB16" s="26" t="s">
        <v>178</v>
      </c>
      <c r="AC16" s="9"/>
      <c r="AD16" s="9"/>
      <c r="AE16" s="9"/>
      <c r="AF16" s="22"/>
      <c r="AH16">
        <f t="shared" si="0"/>
        <v>4</v>
      </c>
    </row>
    <row r="17" spans="1:34" ht="15.5" x14ac:dyDescent="0.25">
      <c r="A17" s="19" t="s">
        <v>12</v>
      </c>
      <c r="B17" s="10"/>
      <c r="C17" s="10"/>
      <c r="D17" s="42" t="s">
        <v>179</v>
      </c>
      <c r="E17" s="16"/>
      <c r="F17" s="9"/>
      <c r="G17" s="9"/>
      <c r="H17" s="9"/>
      <c r="I17" s="10"/>
      <c r="J17" s="10"/>
      <c r="K17" s="9"/>
      <c r="L17" s="26" t="s">
        <v>114</v>
      </c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42" t="s">
        <v>175</v>
      </c>
      <c r="C18" s="16"/>
      <c r="D18" s="16"/>
      <c r="E18" s="16"/>
      <c r="F18" s="10"/>
      <c r="G18" s="10"/>
      <c r="H18" s="26" t="s">
        <v>114</v>
      </c>
      <c r="I18" s="9"/>
      <c r="J18" s="9"/>
      <c r="K18" s="9"/>
      <c r="L18" s="9"/>
      <c r="M18" s="10"/>
      <c r="N18" s="10"/>
      <c r="O18" s="9"/>
      <c r="P18" s="9"/>
      <c r="Q18" s="9"/>
      <c r="R18" s="26" t="s">
        <v>114</v>
      </c>
      <c r="S18" s="9"/>
      <c r="T18" s="10"/>
      <c r="U18" s="10"/>
      <c r="V18" s="9"/>
      <c r="W18" s="26" t="s">
        <v>179</v>
      </c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4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26" t="s">
        <v>114</v>
      </c>
      <c r="H19" s="9"/>
      <c r="I19" s="9"/>
      <c r="J19" s="9"/>
      <c r="K19" s="10"/>
      <c r="L19" s="10"/>
      <c r="M19" s="9"/>
      <c r="N19" s="9"/>
      <c r="O19" s="26" t="s">
        <v>179</v>
      </c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44732</v>
      </c>
      <c r="B23" s="51"/>
      <c r="C23" s="51"/>
      <c r="D23" s="16"/>
      <c r="E23" s="51"/>
      <c r="F23" s="51"/>
      <c r="G23" s="16"/>
      <c r="H23" s="52" t="s">
        <v>194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/>
  <dimension ref="A1:AH28"/>
  <sheetViews>
    <sheetView zoomScale="85" zoomScaleNormal="85"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28</v>
      </c>
      <c r="B1" s="50">
        <f>A1/260</f>
        <v>0.1076923076923077</v>
      </c>
      <c r="C1" s="50">
        <f>1-B1</f>
        <v>0.89230769230769225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47</v>
      </c>
      <c r="E3" s="4"/>
      <c r="F3" s="4"/>
      <c r="G3" s="4"/>
      <c r="H3" s="4"/>
      <c r="I3" s="4"/>
      <c r="J3" s="4"/>
      <c r="N3" t="s">
        <v>2</v>
      </c>
      <c r="O3" s="4"/>
      <c r="P3" s="23">
        <v>42492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 t="s">
        <v>118</v>
      </c>
      <c r="F8" s="26" t="s">
        <v>114</v>
      </c>
      <c r="G8" s="9"/>
      <c r="H8" s="9"/>
      <c r="I8" s="10"/>
      <c r="J8" s="10"/>
      <c r="K8" s="9"/>
      <c r="L8" s="9"/>
      <c r="M8" s="26" t="s">
        <v>125</v>
      </c>
      <c r="N8" s="9"/>
      <c r="O8" s="9"/>
      <c r="P8" s="10"/>
      <c r="Q8" s="10"/>
      <c r="R8" s="26" t="s">
        <v>114</v>
      </c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4</v>
      </c>
    </row>
    <row r="9" spans="1:34" ht="15.5" x14ac:dyDescent="0.25">
      <c r="A9" s="19" t="s">
        <v>4</v>
      </c>
      <c r="B9" s="16"/>
      <c r="C9" s="27" t="s">
        <v>116</v>
      </c>
      <c r="D9" s="9"/>
      <c r="E9" s="9"/>
      <c r="F9" s="10"/>
      <c r="G9" s="10"/>
      <c r="H9" s="26" t="s">
        <v>114</v>
      </c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26" t="s">
        <v>114</v>
      </c>
      <c r="Z9" s="9"/>
      <c r="AA9" s="10"/>
      <c r="AB9" s="10"/>
      <c r="AC9" s="9"/>
      <c r="AD9" s="22"/>
      <c r="AE9" s="22"/>
      <c r="AF9" s="22"/>
      <c r="AH9">
        <f t="shared" ref="AH9:AH19" si="0">COUNTA(B9:AF9)</f>
        <v>3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26" t="s">
        <v>114</v>
      </c>
      <c r="Q10" s="26" t="s">
        <v>116</v>
      </c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26" t="s">
        <v>139</v>
      </c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3">
      <c r="A12" s="19" t="s">
        <v>7</v>
      </c>
      <c r="B12" s="16"/>
      <c r="C12" s="36" t="s">
        <v>114</v>
      </c>
      <c r="D12" s="16"/>
      <c r="E12" s="16"/>
      <c r="F12" s="9"/>
      <c r="G12" s="9"/>
      <c r="H12" s="10"/>
      <c r="I12" s="10"/>
      <c r="J12" s="9"/>
      <c r="K12" s="26" t="s">
        <v>114</v>
      </c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26" t="s">
        <v>114</v>
      </c>
      <c r="Y12" s="9"/>
      <c r="Z12" s="26" t="s">
        <v>114</v>
      </c>
      <c r="AA12" s="9"/>
      <c r="AB12" s="9"/>
      <c r="AC12" s="10"/>
      <c r="AD12" s="10"/>
      <c r="AE12" s="9"/>
      <c r="AF12" s="9"/>
      <c r="AH12">
        <f t="shared" si="0"/>
        <v>4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26" t="s">
        <v>114</v>
      </c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26" t="s">
        <v>184</v>
      </c>
      <c r="S15" s="9"/>
      <c r="T15" s="9"/>
      <c r="U15" s="10"/>
      <c r="V15" s="10"/>
      <c r="W15" s="26" t="s">
        <v>114</v>
      </c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26" t="s">
        <v>113</v>
      </c>
      <c r="U16" s="26" t="s">
        <v>113</v>
      </c>
      <c r="V16" s="26" t="s">
        <v>113</v>
      </c>
      <c r="W16" s="26" t="s">
        <v>113</v>
      </c>
      <c r="X16" s="9"/>
      <c r="Y16" s="10"/>
      <c r="Z16" s="10"/>
      <c r="AA16" s="9"/>
      <c r="AB16" s="26" t="s">
        <v>114</v>
      </c>
      <c r="AC16" s="9"/>
      <c r="AD16" s="9"/>
      <c r="AE16" s="9"/>
      <c r="AF16" s="22"/>
      <c r="AH16">
        <f t="shared" si="0"/>
        <v>5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26" t="s">
        <v>114</v>
      </c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26" t="s">
        <v>114</v>
      </c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26" t="s">
        <v>114</v>
      </c>
      <c r="J18" s="26" t="s">
        <v>114</v>
      </c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114</v>
      </c>
      <c r="AE18" s="9"/>
      <c r="AF18" s="22"/>
      <c r="AH18">
        <f t="shared" si="0"/>
        <v>3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 t="s">
        <v>179</v>
      </c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44713</v>
      </c>
      <c r="B23" s="51"/>
      <c r="C23" s="51"/>
      <c r="D23" s="16"/>
      <c r="E23" s="51" t="s">
        <v>164</v>
      </c>
      <c r="F23" s="51"/>
      <c r="G23" s="16"/>
      <c r="H23" s="52" t="s">
        <v>191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/>
  <dimension ref="A1:AH28"/>
  <sheetViews>
    <sheetView workbookViewId="0">
      <selection activeCell="AH8" sqref="AH8:AH19"/>
    </sheetView>
  </sheetViews>
  <sheetFormatPr defaultRowHeight="12.5" x14ac:dyDescent="0.25"/>
  <sheetData>
    <row r="1" spans="1:34" ht="18" x14ac:dyDescent="0.4">
      <c r="A1" s="1">
        <f>COUNTA(B8:AF19)</f>
        <v>13</v>
      </c>
      <c r="B1" s="50">
        <f>A1/260</f>
        <v>0.05</v>
      </c>
      <c r="C1" s="50">
        <f>1-B1</f>
        <v>0.95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215</v>
      </c>
      <c r="E3" s="4"/>
      <c r="F3" s="4"/>
      <c r="G3" s="4"/>
      <c r="H3" s="4"/>
      <c r="I3" s="4"/>
      <c r="J3" s="4"/>
      <c r="N3" t="s">
        <v>2</v>
      </c>
      <c r="O3" s="4"/>
      <c r="P3" s="23">
        <v>44810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 t="s">
        <v>118</v>
      </c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1</v>
      </c>
    </row>
    <row r="9" spans="1:34" ht="15.5" x14ac:dyDescent="0.25">
      <c r="A9" s="19" t="s">
        <v>4</v>
      </c>
      <c r="B9" s="16"/>
      <c r="C9" s="41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3">
      <c r="A12" s="19" t="s">
        <v>7</v>
      </c>
      <c r="B12" s="16"/>
      <c r="C12" s="35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114</v>
      </c>
      <c r="N16" s="26" t="s">
        <v>114</v>
      </c>
      <c r="O16" s="26" t="s">
        <v>116</v>
      </c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3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26" t="s">
        <v>114</v>
      </c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26" t="s">
        <v>114</v>
      </c>
      <c r="U17" s="26" t="s">
        <v>116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3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26" t="s">
        <v>175</v>
      </c>
      <c r="L18" s="9"/>
      <c r="M18" s="10"/>
      <c r="N18" s="10"/>
      <c r="O18" s="9"/>
      <c r="P18" s="9"/>
      <c r="Q18" s="9"/>
      <c r="R18" s="9"/>
      <c r="S18" s="9"/>
      <c r="T18" s="10"/>
      <c r="U18" s="10"/>
      <c r="V18" s="26" t="s">
        <v>114</v>
      </c>
      <c r="W18" s="9"/>
      <c r="X18" s="9"/>
      <c r="Y18" s="9"/>
      <c r="Z18" s="9"/>
      <c r="AA18" s="10"/>
      <c r="AB18" s="10"/>
      <c r="AC18" s="9"/>
      <c r="AD18" s="26" t="s">
        <v>114</v>
      </c>
      <c r="AE18" s="9"/>
      <c r="AF18" s="22"/>
      <c r="AH18">
        <f t="shared" si="0"/>
        <v>3</v>
      </c>
    </row>
    <row r="19" spans="1:34" ht="15.5" x14ac:dyDescent="0.25">
      <c r="A19" s="19" t="s">
        <v>14</v>
      </c>
      <c r="B19" s="26" t="s">
        <v>114</v>
      </c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26" t="s">
        <v>179</v>
      </c>
      <c r="O19" s="9"/>
      <c r="P19" s="9"/>
      <c r="Q19" s="9"/>
      <c r="R19" s="10"/>
      <c r="S19" s="10"/>
      <c r="T19" s="26" t="s">
        <v>114</v>
      </c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3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/>
  <dimension ref="A1:AH28"/>
  <sheetViews>
    <sheetView zoomScale="70" zoomScaleNormal="70"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31</v>
      </c>
      <c r="B1" s="50">
        <f>A1/260</f>
        <v>0.11923076923076924</v>
      </c>
      <c r="C1" s="50">
        <f>1-B1</f>
        <v>0.88076923076923075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48</v>
      </c>
      <c r="E3" s="4"/>
      <c r="F3" s="4"/>
      <c r="G3" s="4"/>
      <c r="H3" s="4"/>
      <c r="I3" s="4"/>
      <c r="J3" s="4"/>
      <c r="N3" t="s">
        <v>2</v>
      </c>
      <c r="O3" s="4"/>
      <c r="P3" s="23">
        <v>41442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26" t="s">
        <v>112</v>
      </c>
      <c r="Y9" s="26" t="s">
        <v>116</v>
      </c>
      <c r="Z9" s="9"/>
      <c r="AA9" s="10"/>
      <c r="AB9" s="10"/>
      <c r="AC9" s="26" t="s">
        <v>125</v>
      </c>
      <c r="AD9" s="22"/>
      <c r="AE9" s="22"/>
      <c r="AF9" s="22"/>
      <c r="AH9">
        <f t="shared" ref="AH9:AH19" si="0">COUNTA(B9:AF9)</f>
        <v>3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26" t="s">
        <v>114</v>
      </c>
      <c r="J10" s="9"/>
      <c r="K10" s="26" t="s">
        <v>125</v>
      </c>
      <c r="L10" s="9"/>
      <c r="M10" s="10"/>
      <c r="N10" s="10"/>
      <c r="O10" s="26" t="s">
        <v>125</v>
      </c>
      <c r="P10" s="26" t="s">
        <v>114</v>
      </c>
      <c r="Q10" s="26" t="s">
        <v>114</v>
      </c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26" t="s">
        <v>112</v>
      </c>
      <c r="AF10" s="26" t="s">
        <v>116</v>
      </c>
      <c r="AH10">
        <f t="shared" si="0"/>
        <v>7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26" t="s">
        <v>112</v>
      </c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26" t="s">
        <v>138</v>
      </c>
      <c r="V11" s="9"/>
      <c r="W11" s="9"/>
      <c r="X11" s="10"/>
      <c r="Y11" s="10"/>
      <c r="Z11" s="9"/>
      <c r="AA11" s="9"/>
      <c r="AB11" s="26" t="s">
        <v>157</v>
      </c>
      <c r="AC11" s="9"/>
      <c r="AD11" s="9"/>
      <c r="AE11" s="10"/>
      <c r="AF11" s="22"/>
      <c r="AH11">
        <f t="shared" si="0"/>
        <v>3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26" t="s">
        <v>114</v>
      </c>
      <c r="L12" s="9"/>
      <c r="M12" s="9"/>
      <c r="N12" s="9"/>
      <c r="O12" s="10"/>
      <c r="P12" s="10"/>
      <c r="Q12" s="9"/>
      <c r="R12" s="9"/>
      <c r="S12" s="9"/>
      <c r="T12" s="26" t="s">
        <v>179</v>
      </c>
      <c r="U12" s="9"/>
      <c r="V12" s="10"/>
      <c r="W12" s="10"/>
      <c r="X12" s="9"/>
      <c r="Y12" s="9"/>
      <c r="Z12" s="26" t="s">
        <v>179</v>
      </c>
      <c r="AA12" s="9"/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29" t="s">
        <v>113</v>
      </c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26" t="s">
        <v>116</v>
      </c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26" t="s">
        <v>178</v>
      </c>
      <c r="U14" s="9"/>
      <c r="V14" s="9"/>
      <c r="W14" s="9"/>
      <c r="X14" s="10"/>
      <c r="Y14" s="10"/>
      <c r="Z14" s="26" t="s">
        <v>178</v>
      </c>
      <c r="AA14" s="9"/>
      <c r="AB14" s="9"/>
      <c r="AC14" s="26" t="s">
        <v>179</v>
      </c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26" t="s">
        <v>178</v>
      </c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26" t="s">
        <v>114</v>
      </c>
      <c r="I16" s="26" t="s">
        <v>116</v>
      </c>
      <c r="J16" s="9"/>
      <c r="K16" s="10"/>
      <c r="L16" s="10"/>
      <c r="M16" s="9"/>
      <c r="N16" s="26" t="s">
        <v>178</v>
      </c>
      <c r="O16" s="9"/>
      <c r="P16" s="9"/>
      <c r="Q16" s="9"/>
      <c r="R16" s="10"/>
      <c r="S16" s="10"/>
      <c r="T16" s="9"/>
      <c r="U16" s="26" t="s">
        <v>178</v>
      </c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4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26" t="s">
        <v>184</v>
      </c>
      <c r="S17" s="9"/>
      <c r="T17" s="9"/>
      <c r="U17" s="9"/>
      <c r="V17" s="9"/>
      <c r="W17" s="10"/>
      <c r="X17" s="10"/>
      <c r="Y17" s="9"/>
      <c r="Z17" s="26" t="s">
        <v>178</v>
      </c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26" t="s">
        <v>178</v>
      </c>
      <c r="W18" s="9"/>
      <c r="X18" s="9"/>
      <c r="Y18" s="9"/>
      <c r="Z18" s="9"/>
      <c r="AA18" s="10"/>
      <c r="AB18" s="10"/>
      <c r="AC18" s="9"/>
      <c r="AD18" s="26" t="s">
        <v>250</v>
      </c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29" t="s">
        <v>113</v>
      </c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44733</v>
      </c>
      <c r="B23" s="51"/>
      <c r="C23" s="51"/>
      <c r="D23" s="16"/>
      <c r="E23" s="51"/>
      <c r="F23" s="51"/>
      <c r="G23" s="16"/>
      <c r="H23" s="52" t="s">
        <v>195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25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42</v>
      </c>
      <c r="B1" s="50">
        <f>A1/260</f>
        <v>0.16153846153846155</v>
      </c>
      <c r="C1" s="50">
        <f>1-B1</f>
        <v>0.83846153846153848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49</v>
      </c>
      <c r="E3" s="4"/>
      <c r="F3" s="4"/>
      <c r="G3" s="4"/>
      <c r="H3" s="4"/>
      <c r="I3" s="4"/>
      <c r="J3" s="4"/>
      <c r="N3" t="s">
        <v>2</v>
      </c>
      <c r="O3" s="4"/>
      <c r="P3" s="23">
        <v>33378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26" t="s">
        <v>113</v>
      </c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112</v>
      </c>
      <c r="S8" s="26" t="s">
        <v>125</v>
      </c>
      <c r="T8" s="9"/>
      <c r="U8" s="26" t="s">
        <v>112</v>
      </c>
      <c r="V8" s="9"/>
      <c r="W8" s="10"/>
      <c r="X8" s="10"/>
      <c r="Y8" s="9" t="s">
        <v>112</v>
      </c>
      <c r="Z8" s="9"/>
      <c r="AA8" s="9"/>
      <c r="AB8" s="9"/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26" t="s">
        <v>125</v>
      </c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26" t="s">
        <v>112</v>
      </c>
      <c r="R10" s="9"/>
      <c r="S10" s="9"/>
      <c r="T10" s="10"/>
      <c r="U10" s="10"/>
      <c r="V10" s="9"/>
      <c r="W10" s="9"/>
      <c r="X10" s="26" t="s">
        <v>113</v>
      </c>
      <c r="Y10" s="9"/>
      <c r="Z10" s="9"/>
      <c r="AA10" s="10"/>
      <c r="AB10" s="10"/>
      <c r="AC10" s="26" t="s">
        <v>125</v>
      </c>
      <c r="AD10" s="9"/>
      <c r="AE10" s="9"/>
      <c r="AF10" s="9"/>
      <c r="AH10">
        <f t="shared" si="0"/>
        <v>3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26" t="s">
        <v>112</v>
      </c>
      <c r="N11" s="26" t="s">
        <v>113</v>
      </c>
      <c r="O11" s="26" t="s">
        <v>134</v>
      </c>
      <c r="P11" s="9"/>
      <c r="Q11" s="10"/>
      <c r="R11" s="10"/>
      <c r="S11" s="26" t="s">
        <v>166</v>
      </c>
      <c r="T11" s="26" t="s">
        <v>140</v>
      </c>
      <c r="U11" s="26" t="s">
        <v>140</v>
      </c>
      <c r="V11" s="26" t="s">
        <v>140</v>
      </c>
      <c r="W11" s="9"/>
      <c r="X11" s="10"/>
      <c r="Y11" s="10"/>
      <c r="Z11" s="26" t="s">
        <v>166</v>
      </c>
      <c r="AA11" s="26" t="s">
        <v>140</v>
      </c>
      <c r="AB11" s="26" t="s">
        <v>140</v>
      </c>
      <c r="AC11" s="26" t="s">
        <v>140</v>
      </c>
      <c r="AD11" s="9"/>
      <c r="AE11" s="10"/>
      <c r="AF11" s="22"/>
      <c r="AH11">
        <f t="shared" si="0"/>
        <v>11</v>
      </c>
    </row>
    <row r="12" spans="1:34" ht="15.5" x14ac:dyDescent="0.3">
      <c r="A12" s="19" t="s">
        <v>7</v>
      </c>
      <c r="B12" s="16"/>
      <c r="C12" s="36" t="s">
        <v>166</v>
      </c>
      <c r="D12" s="36" t="s">
        <v>140</v>
      </c>
      <c r="E12" s="36" t="s">
        <v>140</v>
      </c>
      <c r="F12" s="36" t="s">
        <v>140</v>
      </c>
      <c r="G12" s="9"/>
      <c r="H12" s="10"/>
      <c r="I12" s="10"/>
      <c r="J12" s="26" t="s">
        <v>166</v>
      </c>
      <c r="K12" s="26" t="s">
        <v>140</v>
      </c>
      <c r="L12" s="26" t="s">
        <v>140</v>
      </c>
      <c r="M12" s="26" t="s">
        <v>140</v>
      </c>
      <c r="N12" s="9"/>
      <c r="O12" s="10"/>
      <c r="P12" s="10"/>
      <c r="Q12" s="26" t="s">
        <v>166</v>
      </c>
      <c r="R12" s="26" t="s">
        <v>140</v>
      </c>
      <c r="S12" s="26" t="s">
        <v>140</v>
      </c>
      <c r="T12" s="26" t="s">
        <v>140</v>
      </c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12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26" t="s">
        <v>113</v>
      </c>
      <c r="T14" s="26" t="s">
        <v>113</v>
      </c>
      <c r="U14" s="26" t="s">
        <v>113</v>
      </c>
      <c r="V14" s="26" t="s">
        <v>113</v>
      </c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4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26" t="s">
        <v>178</v>
      </c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26" t="s">
        <v>113</v>
      </c>
      <c r="L17" s="26" t="s">
        <v>113</v>
      </c>
      <c r="M17" s="26" t="s">
        <v>113</v>
      </c>
      <c r="N17" s="26" t="s">
        <v>113</v>
      </c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4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26" t="s">
        <v>113</v>
      </c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44578</v>
      </c>
      <c r="B23" s="51"/>
      <c r="C23" s="51"/>
      <c r="D23" s="16"/>
      <c r="E23" s="51"/>
      <c r="F23" s="51"/>
      <c r="G23" s="16"/>
      <c r="H23" s="52" t="s">
        <v>131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>
        <v>44581</v>
      </c>
      <c r="B24" s="51"/>
      <c r="C24" s="51"/>
      <c r="D24" s="16"/>
      <c r="E24" s="51"/>
      <c r="F24" s="51"/>
      <c r="G24" s="16"/>
      <c r="H24" s="52" t="s">
        <v>131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25">
        <v>44585</v>
      </c>
      <c r="B25" s="51"/>
      <c r="C25" s="51"/>
      <c r="D25" s="16"/>
      <c r="E25" s="51"/>
      <c r="F25" s="51"/>
      <c r="G25" s="16"/>
      <c r="H25" s="52" t="s">
        <v>120</v>
      </c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25">
        <v>44636</v>
      </c>
      <c r="B26" s="51"/>
      <c r="C26" s="51"/>
      <c r="D26" s="16"/>
      <c r="E26" s="51"/>
      <c r="F26" s="51"/>
      <c r="G26" s="16"/>
      <c r="H26" s="52" t="s">
        <v>132</v>
      </c>
      <c r="I26" s="53"/>
      <c r="J26" s="53"/>
      <c r="K26" s="53"/>
      <c r="L26" s="53"/>
      <c r="M26" s="54"/>
      <c r="O26" s="20" t="s">
        <v>31</v>
      </c>
    </row>
    <row r="27" spans="1:34" x14ac:dyDescent="0.25">
      <c r="A27" s="25">
        <v>44663</v>
      </c>
      <c r="B27" s="51"/>
      <c r="C27" s="51"/>
      <c r="D27" s="16"/>
      <c r="E27" s="51"/>
      <c r="F27" s="51"/>
      <c r="G27" s="16"/>
      <c r="H27" s="52" t="s">
        <v>133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/>
  <dimension ref="A1:AH28"/>
  <sheetViews>
    <sheetView workbookViewId="0">
      <selection activeCell="AH8" sqref="AH8:AH19"/>
    </sheetView>
  </sheetViews>
  <sheetFormatPr defaultRowHeight="12.5" x14ac:dyDescent="0.25"/>
  <cols>
    <col min="1" max="2" width="7.81640625" customWidth="1"/>
    <col min="3" max="3" width="11.1796875" customWidth="1"/>
    <col min="4" max="5" width="7.81640625" customWidth="1"/>
    <col min="6" max="6" width="7.453125" customWidth="1"/>
    <col min="7" max="7" width="8.1796875" customWidth="1"/>
    <col min="8" max="8" width="8" customWidth="1"/>
    <col min="9" max="9" width="12.453125" customWidth="1"/>
    <col min="10" max="10" width="7.81640625" customWidth="1"/>
    <col min="11" max="11" width="8.1796875" customWidth="1"/>
    <col min="12" max="12" width="8.453125" customWidth="1"/>
    <col min="13" max="14" width="8.54296875" customWidth="1"/>
    <col min="15" max="15" width="8" customWidth="1"/>
    <col min="16" max="17" width="9.81640625" customWidth="1"/>
    <col min="18" max="18" width="8.81640625" customWidth="1"/>
    <col min="19" max="19" width="7.81640625" customWidth="1"/>
    <col min="20" max="20" width="8.1796875" customWidth="1"/>
    <col min="21" max="21" width="7.54296875" customWidth="1"/>
    <col min="22" max="22" width="8" customWidth="1"/>
    <col min="23" max="23" width="9.1796875" customWidth="1"/>
    <col min="24" max="24" width="8.81640625" customWidth="1"/>
    <col min="25" max="25" width="8.54296875" customWidth="1"/>
    <col min="26" max="26" width="8.81640625" customWidth="1"/>
    <col min="27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57</v>
      </c>
      <c r="B1" s="50">
        <f>A1/260</f>
        <v>0.21923076923076923</v>
      </c>
      <c r="C1" s="50">
        <f>1-B1</f>
        <v>0.78076923076923077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50</v>
      </c>
      <c r="E3" s="4"/>
      <c r="F3" s="4"/>
      <c r="G3" s="4"/>
      <c r="H3" s="4"/>
      <c r="I3" s="4"/>
      <c r="J3" s="4"/>
      <c r="N3" t="s">
        <v>2</v>
      </c>
      <c r="O3" s="4"/>
      <c r="P3" s="23">
        <v>41795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26" t="s">
        <v>111</v>
      </c>
      <c r="AH8">
        <f>COUNTA(B8:AF8)</f>
        <v>1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26" t="s">
        <v>116</v>
      </c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26" t="s">
        <v>125</v>
      </c>
      <c r="I10" s="9"/>
      <c r="J10" s="9"/>
      <c r="K10" s="9"/>
      <c r="L10" s="9"/>
      <c r="M10" s="10"/>
      <c r="N10" s="10"/>
      <c r="O10" s="9"/>
      <c r="P10" s="9"/>
      <c r="Q10" s="9"/>
      <c r="R10" s="26" t="s">
        <v>112</v>
      </c>
      <c r="S10" s="9"/>
      <c r="T10" s="10"/>
      <c r="U10" s="10"/>
      <c r="V10" s="9"/>
      <c r="W10" s="9"/>
      <c r="X10" s="9"/>
      <c r="Y10" s="26" t="s">
        <v>114</v>
      </c>
      <c r="Z10" s="9"/>
      <c r="AA10" s="10"/>
      <c r="AB10" s="10"/>
      <c r="AC10" s="26" t="s">
        <v>114</v>
      </c>
      <c r="AD10" s="9"/>
      <c r="AE10" s="9"/>
      <c r="AF10" s="9"/>
      <c r="AH10">
        <f t="shared" si="0"/>
        <v>4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26" t="s">
        <v>141</v>
      </c>
      <c r="T11" s="26" t="s">
        <v>141</v>
      </c>
      <c r="U11" s="26" t="s">
        <v>141</v>
      </c>
      <c r="V11" s="9"/>
      <c r="W11" s="9"/>
      <c r="X11" s="10"/>
      <c r="Y11" s="10"/>
      <c r="Z11" s="9"/>
      <c r="AA11" s="26" t="s">
        <v>137</v>
      </c>
      <c r="AB11" s="9"/>
      <c r="AC11" s="26" t="s">
        <v>114</v>
      </c>
      <c r="AD11" s="9"/>
      <c r="AE11" s="10"/>
      <c r="AF11" s="22"/>
      <c r="AH11">
        <f t="shared" si="0"/>
        <v>5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26" t="s">
        <v>114</v>
      </c>
      <c r="H13" s="9"/>
      <c r="I13" s="26" t="s">
        <v>178</v>
      </c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26" t="s">
        <v>113</v>
      </c>
      <c r="H14" s="26" t="s">
        <v>113</v>
      </c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26" t="s">
        <v>178</v>
      </c>
      <c r="W14" s="9"/>
      <c r="X14" s="10"/>
      <c r="Y14" s="10"/>
      <c r="Z14" s="9"/>
      <c r="AA14" s="9"/>
      <c r="AB14" s="26" t="s">
        <v>114</v>
      </c>
      <c r="AC14" s="9"/>
      <c r="AD14" s="9"/>
      <c r="AE14" s="10"/>
      <c r="AF14" s="10"/>
      <c r="AH14">
        <f t="shared" si="0"/>
        <v>4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114</v>
      </c>
      <c r="X15" s="26" t="s">
        <v>116</v>
      </c>
      <c r="Y15" s="26" t="s">
        <v>116</v>
      </c>
      <c r="Z15" s="26" t="s">
        <v>116</v>
      </c>
      <c r="AA15" s="9"/>
      <c r="AB15" s="10"/>
      <c r="AC15" s="10"/>
      <c r="AD15" s="9"/>
      <c r="AE15" s="9"/>
      <c r="AF15" s="9"/>
      <c r="AH15">
        <f t="shared" si="0"/>
        <v>4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26" t="s">
        <v>212</v>
      </c>
      <c r="H16" s="26" t="s">
        <v>140</v>
      </c>
      <c r="I16" s="26" t="s">
        <v>140</v>
      </c>
      <c r="J16" s="9"/>
      <c r="K16" s="10"/>
      <c r="L16" s="10"/>
      <c r="M16" s="26" t="s">
        <v>212</v>
      </c>
      <c r="N16" s="26" t="s">
        <v>140</v>
      </c>
      <c r="O16" s="26" t="s">
        <v>140</v>
      </c>
      <c r="P16" s="26" t="s">
        <v>140</v>
      </c>
      <c r="Q16" s="9"/>
      <c r="R16" s="10"/>
      <c r="S16" s="10"/>
      <c r="T16" s="26" t="s">
        <v>212</v>
      </c>
      <c r="U16" s="26" t="s">
        <v>140</v>
      </c>
      <c r="V16" s="26" t="s">
        <v>140</v>
      </c>
      <c r="W16" s="26" t="s">
        <v>140</v>
      </c>
      <c r="X16" s="9"/>
      <c r="Y16" s="10"/>
      <c r="Z16" s="10"/>
      <c r="AA16" s="26" t="s">
        <v>197</v>
      </c>
      <c r="AB16" s="26" t="s">
        <v>140</v>
      </c>
      <c r="AC16" s="26" t="s">
        <v>140</v>
      </c>
      <c r="AD16" s="26" t="s">
        <v>140</v>
      </c>
      <c r="AE16" s="9"/>
      <c r="AF16" s="22"/>
      <c r="AH16">
        <f t="shared" si="0"/>
        <v>15</v>
      </c>
    </row>
    <row r="17" spans="1:34" ht="15.5" x14ac:dyDescent="0.3">
      <c r="A17" s="19" t="s">
        <v>12</v>
      </c>
      <c r="B17" s="10"/>
      <c r="C17" s="10"/>
      <c r="D17" s="36" t="s">
        <v>140</v>
      </c>
      <c r="E17" s="36" t="s">
        <v>140</v>
      </c>
      <c r="F17" s="36" t="s">
        <v>140</v>
      </c>
      <c r="G17" s="36" t="s">
        <v>140</v>
      </c>
      <c r="H17" s="9"/>
      <c r="I17" s="10"/>
      <c r="J17" s="10"/>
      <c r="K17" s="36" t="s">
        <v>140</v>
      </c>
      <c r="L17" s="36" t="s">
        <v>140</v>
      </c>
      <c r="M17" s="36" t="s">
        <v>140</v>
      </c>
      <c r="N17" s="36" t="s">
        <v>140</v>
      </c>
      <c r="O17" s="9"/>
      <c r="P17" s="10"/>
      <c r="Q17" s="10"/>
      <c r="R17" s="36" t="s">
        <v>140</v>
      </c>
      <c r="S17" s="36" t="s">
        <v>140</v>
      </c>
      <c r="T17" s="36" t="s">
        <v>140</v>
      </c>
      <c r="U17" s="36" t="s">
        <v>140</v>
      </c>
      <c r="V17" s="9"/>
      <c r="W17" s="10"/>
      <c r="X17" s="10"/>
      <c r="Y17" s="36" t="s">
        <v>140</v>
      </c>
      <c r="Z17" s="36" t="s">
        <v>140</v>
      </c>
      <c r="AA17" s="36" t="s">
        <v>140</v>
      </c>
      <c r="AB17" s="36" t="s">
        <v>140</v>
      </c>
      <c r="AC17" s="9"/>
      <c r="AD17" s="10"/>
      <c r="AE17" s="10"/>
      <c r="AF17" s="9"/>
      <c r="AH17">
        <f t="shared" si="0"/>
        <v>16</v>
      </c>
    </row>
    <row r="18" spans="1:34" ht="15.5" x14ac:dyDescent="0.3">
      <c r="A18" s="19" t="s">
        <v>13</v>
      </c>
      <c r="B18" s="16"/>
      <c r="C18" s="16"/>
      <c r="D18" s="16"/>
      <c r="E18" s="16"/>
      <c r="F18" s="10"/>
      <c r="G18" s="10"/>
      <c r="H18" s="36" t="s">
        <v>140</v>
      </c>
      <c r="I18" s="9"/>
      <c r="J18" s="9"/>
      <c r="K18" s="26" t="s">
        <v>114</v>
      </c>
      <c r="L18" s="9"/>
      <c r="M18" s="10"/>
      <c r="N18" s="10"/>
      <c r="O18" s="9"/>
      <c r="P18" s="26" t="s">
        <v>184</v>
      </c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3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114</v>
      </c>
      <c r="N19" s="9"/>
      <c r="O19" s="9"/>
      <c r="P19" s="26" t="s">
        <v>116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4" t="s">
        <v>16</v>
      </c>
      <c r="C22" s="15" t="s">
        <v>17</v>
      </c>
      <c r="D22" s="15"/>
      <c r="E22" s="15"/>
      <c r="F22" s="15" t="s">
        <v>18</v>
      </c>
      <c r="G22" s="15"/>
      <c r="H22" s="16"/>
      <c r="I22" s="55" t="s">
        <v>19</v>
      </c>
      <c r="J22" s="56"/>
      <c r="K22" s="56"/>
      <c r="L22" s="56"/>
      <c r="M22" s="56"/>
      <c r="N22" s="57"/>
      <c r="P22" t="s">
        <v>21</v>
      </c>
      <c r="U22" t="s">
        <v>24</v>
      </c>
      <c r="AA22" t="s">
        <v>26</v>
      </c>
    </row>
    <row r="23" spans="1:34" x14ac:dyDescent="0.25">
      <c r="A23" s="25" t="s">
        <v>118</v>
      </c>
      <c r="B23" s="25">
        <v>44637</v>
      </c>
      <c r="C23" s="51"/>
      <c r="D23" s="51"/>
      <c r="E23" s="16"/>
      <c r="F23" s="51"/>
      <c r="G23" s="51"/>
      <c r="H23" s="16"/>
      <c r="I23" s="52" t="s">
        <v>115</v>
      </c>
      <c r="J23" s="53"/>
      <c r="K23" s="53"/>
      <c r="L23" s="53"/>
      <c r="M23" s="53"/>
      <c r="N23" s="54"/>
      <c r="P23" t="s">
        <v>22</v>
      </c>
      <c r="U23" t="s">
        <v>25</v>
      </c>
      <c r="AA23" s="20" t="s">
        <v>32</v>
      </c>
    </row>
    <row r="24" spans="1:34" x14ac:dyDescent="0.25">
      <c r="A24" s="25" t="s">
        <v>118</v>
      </c>
      <c r="B24" s="25" t="s">
        <v>118</v>
      </c>
      <c r="C24" s="51"/>
      <c r="D24" s="51"/>
      <c r="E24" s="16"/>
      <c r="F24" s="51"/>
      <c r="G24" s="51"/>
      <c r="H24" s="16"/>
      <c r="I24" s="52" t="s">
        <v>118</v>
      </c>
      <c r="J24" s="53"/>
      <c r="K24" s="53"/>
      <c r="L24" s="53"/>
      <c r="M24" s="53"/>
      <c r="N24" s="54"/>
      <c r="P24" t="s">
        <v>23</v>
      </c>
      <c r="U24" s="20" t="s">
        <v>29</v>
      </c>
      <c r="AA24" t="s">
        <v>27</v>
      </c>
    </row>
    <row r="25" spans="1:34" x14ac:dyDescent="0.25">
      <c r="A25" s="17"/>
      <c r="B25" s="17"/>
      <c r="C25" s="51"/>
      <c r="D25" s="51"/>
      <c r="E25" s="16"/>
      <c r="F25" s="51"/>
      <c r="G25" s="51"/>
      <c r="H25" s="16"/>
      <c r="I25" s="52"/>
      <c r="J25" s="53"/>
      <c r="K25" s="53"/>
      <c r="L25" s="53"/>
      <c r="M25" s="53"/>
      <c r="N25" s="54"/>
      <c r="P25" s="20" t="s">
        <v>30</v>
      </c>
      <c r="AA25" t="s">
        <v>28</v>
      </c>
    </row>
    <row r="26" spans="1:34" x14ac:dyDescent="0.25">
      <c r="A26" s="17"/>
      <c r="B26" s="17"/>
      <c r="C26" s="51"/>
      <c r="D26" s="51"/>
      <c r="E26" s="16"/>
      <c r="F26" s="51"/>
      <c r="G26" s="51"/>
      <c r="H26" s="16"/>
      <c r="I26" s="52"/>
      <c r="J26" s="53"/>
      <c r="K26" s="53"/>
      <c r="L26" s="53"/>
      <c r="M26" s="53"/>
      <c r="N26" s="54"/>
      <c r="P26" s="20" t="s">
        <v>31</v>
      </c>
    </row>
    <row r="27" spans="1:34" x14ac:dyDescent="0.25">
      <c r="A27" s="17"/>
      <c r="B27" s="17"/>
      <c r="C27" s="51"/>
      <c r="D27" s="51"/>
      <c r="E27" s="16"/>
      <c r="F27" s="51"/>
      <c r="G27" s="51"/>
      <c r="H27" s="16"/>
      <c r="I27" s="52"/>
      <c r="J27" s="53"/>
      <c r="K27" s="53"/>
      <c r="L27" s="53"/>
      <c r="M27" s="53"/>
      <c r="N27" s="54"/>
    </row>
    <row r="28" spans="1:34" x14ac:dyDescent="0.25">
      <c r="A28" s="17"/>
      <c r="B28" s="17"/>
      <c r="C28" s="51"/>
      <c r="D28" s="51"/>
      <c r="E28" s="16"/>
      <c r="F28" s="51"/>
      <c r="G28" s="51"/>
      <c r="H28" s="16"/>
      <c r="I28" s="52"/>
      <c r="J28" s="53"/>
      <c r="K28" s="53"/>
      <c r="L28" s="53"/>
      <c r="M28" s="53"/>
      <c r="N28" s="54"/>
    </row>
  </sheetData>
  <mergeCells count="24">
    <mergeCell ref="C28:D28"/>
    <mergeCell ref="F28:G28"/>
    <mergeCell ref="I28:N28"/>
    <mergeCell ref="C26:D26"/>
    <mergeCell ref="F26:G26"/>
    <mergeCell ref="I26:N26"/>
    <mergeCell ref="C27:D27"/>
    <mergeCell ref="F27:G27"/>
    <mergeCell ref="I27:N27"/>
    <mergeCell ref="V1:W1"/>
    <mergeCell ref="A5:J5"/>
    <mergeCell ref="B6:C6"/>
    <mergeCell ref="E6:F6"/>
    <mergeCell ref="H6:J6"/>
    <mergeCell ref="C25:D25"/>
    <mergeCell ref="F25:G25"/>
    <mergeCell ref="I25:N25"/>
    <mergeCell ref="C23:D23"/>
    <mergeCell ref="I22:N22"/>
    <mergeCell ref="F23:G23"/>
    <mergeCell ref="I23:N23"/>
    <mergeCell ref="C24:D24"/>
    <mergeCell ref="F24:G24"/>
    <mergeCell ref="I24:N2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19</v>
      </c>
      <c r="B1" s="50">
        <f>A1/260</f>
        <v>7.3076923076923081E-2</v>
      </c>
      <c r="C1" s="50">
        <f>1-B1</f>
        <v>0.92692307692307696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51</v>
      </c>
      <c r="E3" s="4"/>
      <c r="F3" s="4"/>
      <c r="G3" s="4"/>
      <c r="H3" s="4"/>
      <c r="I3" s="4"/>
      <c r="J3" s="4"/>
      <c r="N3" t="s">
        <v>2</v>
      </c>
      <c r="O3" s="4"/>
      <c r="P3" s="23">
        <v>37654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114</v>
      </c>
      <c r="S8" s="9"/>
      <c r="T8" s="9"/>
      <c r="U8" s="26" t="s">
        <v>116</v>
      </c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2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26" t="s">
        <v>116</v>
      </c>
      <c r="W9" s="9"/>
      <c r="X9" s="26" t="s">
        <v>112</v>
      </c>
      <c r="Y9" s="26" t="s">
        <v>113</v>
      </c>
      <c r="Z9" s="9"/>
      <c r="AA9" s="10"/>
      <c r="AB9" s="10"/>
      <c r="AC9" s="9"/>
      <c r="AD9" s="22"/>
      <c r="AE9" s="22"/>
      <c r="AF9" s="22"/>
      <c r="AH9">
        <f t="shared" ref="AH9:AH19" si="0">COUNTA(B9:AF9)</f>
        <v>3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26" t="s">
        <v>113</v>
      </c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1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26" t="s">
        <v>113</v>
      </c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26" t="s">
        <v>113</v>
      </c>
      <c r="H13" s="26" t="s">
        <v>113</v>
      </c>
      <c r="I13" s="26" t="s">
        <v>113</v>
      </c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3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26" t="s">
        <v>113</v>
      </c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114</v>
      </c>
      <c r="N16" s="26" t="s">
        <v>116</v>
      </c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26" t="s">
        <v>113</v>
      </c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26" t="s">
        <v>114</v>
      </c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26" t="s">
        <v>113</v>
      </c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26" t="s">
        <v>114</v>
      </c>
      <c r="H19" s="9"/>
      <c r="I19" s="26" t="s">
        <v>113</v>
      </c>
      <c r="J19" s="9"/>
      <c r="K19" s="10"/>
      <c r="L19" s="10"/>
      <c r="M19" s="26" t="s">
        <v>184</v>
      </c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3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44615</v>
      </c>
      <c r="B23" s="51"/>
      <c r="C23" s="51"/>
      <c r="D23" s="16"/>
      <c r="E23" s="51"/>
      <c r="F23" s="51"/>
      <c r="G23" s="16"/>
      <c r="H23" s="52" t="s">
        <v>122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38</v>
      </c>
      <c r="B1" s="50">
        <f>A1/260</f>
        <v>0.14615384615384616</v>
      </c>
      <c r="C1" s="50">
        <f>1-B1</f>
        <v>0.85384615384615381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52</v>
      </c>
      <c r="E3" s="4"/>
      <c r="F3" s="4"/>
      <c r="G3" s="4"/>
      <c r="H3" s="4"/>
      <c r="I3" s="4"/>
      <c r="J3" s="4"/>
      <c r="N3" t="s">
        <v>2</v>
      </c>
      <c r="O3" s="4"/>
      <c r="P3" s="23">
        <v>42954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26" t="s">
        <v>114</v>
      </c>
      <c r="I8" s="10"/>
      <c r="J8" s="10"/>
      <c r="K8" s="9"/>
      <c r="L8" s="9"/>
      <c r="M8" s="9"/>
      <c r="N8" s="26" t="s">
        <v>112</v>
      </c>
      <c r="O8" s="9"/>
      <c r="P8" s="10"/>
      <c r="Q8" s="10"/>
      <c r="R8" s="9"/>
      <c r="S8" s="9"/>
      <c r="T8" s="9"/>
      <c r="U8" s="26" t="s">
        <v>134</v>
      </c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3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26" t="s">
        <v>134</v>
      </c>
      <c r="P9" s="9"/>
      <c r="Q9" s="9"/>
      <c r="R9" s="9"/>
      <c r="S9" s="9"/>
      <c r="T9" s="10"/>
      <c r="U9" s="10"/>
      <c r="V9" s="9"/>
      <c r="W9" s="26" t="s">
        <v>134</v>
      </c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27" t="s">
        <v>114</v>
      </c>
      <c r="D10" s="27" t="s">
        <v>116</v>
      </c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26" t="s">
        <v>112</v>
      </c>
      <c r="S10" s="9"/>
      <c r="T10" s="10"/>
      <c r="U10" s="10"/>
      <c r="V10" s="9"/>
      <c r="W10" s="9"/>
      <c r="X10" s="26" t="s">
        <v>134</v>
      </c>
      <c r="Y10" s="9"/>
      <c r="Z10" s="9"/>
      <c r="AA10" s="10"/>
      <c r="AB10" s="10"/>
      <c r="AC10" s="9"/>
      <c r="AD10" s="26" t="s">
        <v>114</v>
      </c>
      <c r="AE10" s="26" t="s">
        <v>112</v>
      </c>
      <c r="AF10" s="26" t="s">
        <v>116</v>
      </c>
      <c r="AH10">
        <f t="shared" si="0"/>
        <v>7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26" t="s">
        <v>112</v>
      </c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26" t="s">
        <v>175</v>
      </c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26" t="s">
        <v>140</v>
      </c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2</v>
      </c>
    </row>
    <row r="13" spans="1:34" ht="15.5" x14ac:dyDescent="0.25">
      <c r="A13" s="19" t="s">
        <v>8</v>
      </c>
      <c r="B13" s="29" t="s">
        <v>178</v>
      </c>
      <c r="C13" s="29" t="s">
        <v>114</v>
      </c>
      <c r="D13" s="16"/>
      <c r="E13" s="10"/>
      <c r="F13" s="10"/>
      <c r="G13" s="9"/>
      <c r="H13" s="9"/>
      <c r="I13" s="9"/>
      <c r="J13" s="9"/>
      <c r="K13" s="9"/>
      <c r="L13" s="10"/>
      <c r="M13" s="10"/>
      <c r="N13" s="26" t="s">
        <v>116</v>
      </c>
      <c r="O13" s="26" t="s">
        <v>116</v>
      </c>
      <c r="P13" s="26" t="s">
        <v>116</v>
      </c>
      <c r="Q13" s="26" t="s">
        <v>116</v>
      </c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6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28" t="s">
        <v>178</v>
      </c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26" t="s">
        <v>116</v>
      </c>
      <c r="Q15" s="26" t="s">
        <v>116</v>
      </c>
      <c r="R15" s="26" t="s">
        <v>116</v>
      </c>
      <c r="S15" s="26" t="s">
        <v>116</v>
      </c>
      <c r="T15" s="9"/>
      <c r="U15" s="10"/>
      <c r="V15" s="10"/>
      <c r="W15" s="9"/>
      <c r="X15" s="26" t="s">
        <v>178</v>
      </c>
      <c r="Y15" s="9"/>
      <c r="Z15" s="9"/>
      <c r="AA15" s="9"/>
      <c r="AB15" s="10"/>
      <c r="AC15" s="10"/>
      <c r="AD15" s="9"/>
      <c r="AE15" s="9"/>
      <c r="AF15" s="9"/>
      <c r="AH15">
        <f t="shared" si="0"/>
        <v>6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26" t="s">
        <v>113</v>
      </c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26" t="s">
        <v>212</v>
      </c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26" t="s">
        <v>114</v>
      </c>
      <c r="H17" s="9"/>
      <c r="I17" s="10"/>
      <c r="J17" s="10"/>
      <c r="K17" s="26" t="s">
        <v>113</v>
      </c>
      <c r="L17" s="26" t="s">
        <v>113</v>
      </c>
      <c r="M17" s="26" t="s">
        <v>113</v>
      </c>
      <c r="N17" s="26" t="s">
        <v>113</v>
      </c>
      <c r="O17" s="9"/>
      <c r="P17" s="10"/>
      <c r="Q17" s="10"/>
      <c r="R17" s="9"/>
      <c r="S17" s="9"/>
      <c r="T17" s="9"/>
      <c r="U17" s="9"/>
      <c r="V17" s="9"/>
      <c r="W17" s="10"/>
      <c r="X17" s="10"/>
      <c r="Y17" s="26" t="s">
        <v>114</v>
      </c>
      <c r="Z17" s="9"/>
      <c r="AA17" s="9"/>
      <c r="AB17" s="9"/>
      <c r="AC17" s="9"/>
      <c r="AD17" s="10"/>
      <c r="AE17" s="10"/>
      <c r="AF17" s="9"/>
      <c r="AH17">
        <f t="shared" si="0"/>
        <v>6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26" t="s">
        <v>140</v>
      </c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26" t="s">
        <v>140</v>
      </c>
      <c r="P19" s="26" t="s">
        <v>113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44726</v>
      </c>
      <c r="B23" s="51"/>
      <c r="C23" s="51"/>
      <c r="D23" s="16"/>
      <c r="E23" s="51"/>
      <c r="F23" s="51"/>
      <c r="G23" s="16"/>
      <c r="H23" s="52" t="s">
        <v>194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>
        <v>44788</v>
      </c>
      <c r="B24" s="51"/>
      <c r="C24" s="51"/>
      <c r="D24" s="16"/>
      <c r="E24" s="51"/>
      <c r="F24" s="51"/>
      <c r="G24" s="16"/>
      <c r="H24" s="62" t="s">
        <v>206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25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3"/>
  <dimension ref="A1:AH32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45</v>
      </c>
      <c r="B1" s="50">
        <f>A1/260</f>
        <v>0.17307692307692307</v>
      </c>
      <c r="C1" s="50">
        <f>1-B1</f>
        <v>0.82692307692307687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53</v>
      </c>
      <c r="E3" s="4"/>
      <c r="F3" s="4"/>
      <c r="G3" s="4"/>
      <c r="H3" s="4"/>
      <c r="I3" s="4"/>
      <c r="J3" s="4"/>
      <c r="N3" t="s">
        <v>2</v>
      </c>
      <c r="O3" s="4"/>
      <c r="P3" s="23">
        <v>44466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26" t="s">
        <v>114</v>
      </c>
      <c r="O8" s="9"/>
      <c r="P8" s="10"/>
      <c r="Q8" s="10"/>
      <c r="R8" s="9"/>
      <c r="S8" s="26" t="s">
        <v>112</v>
      </c>
      <c r="T8" s="26" t="s">
        <v>116</v>
      </c>
      <c r="U8" s="26" t="s">
        <v>116</v>
      </c>
      <c r="V8" s="9"/>
      <c r="W8" s="10"/>
      <c r="X8" s="10"/>
      <c r="Y8" s="9"/>
      <c r="Z8" s="26" t="s">
        <v>112</v>
      </c>
      <c r="AA8" s="9"/>
      <c r="AB8" s="9"/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26" t="s">
        <v>112</v>
      </c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26" t="s">
        <v>112</v>
      </c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27" t="s">
        <v>114</v>
      </c>
      <c r="C10" s="27" t="s">
        <v>116</v>
      </c>
      <c r="D10" s="16"/>
      <c r="E10" s="16"/>
      <c r="F10" s="10"/>
      <c r="G10" s="10"/>
      <c r="H10" s="9"/>
      <c r="I10" s="9"/>
      <c r="J10" s="9"/>
      <c r="K10" s="26" t="s">
        <v>114</v>
      </c>
      <c r="L10" s="9"/>
      <c r="M10" s="10"/>
      <c r="N10" s="10"/>
      <c r="O10" s="9"/>
      <c r="P10" s="9"/>
      <c r="Q10" s="26" t="s">
        <v>112</v>
      </c>
      <c r="R10" s="26" t="s">
        <v>116</v>
      </c>
      <c r="S10" s="9"/>
      <c r="T10" s="10"/>
      <c r="U10" s="10"/>
      <c r="V10" s="9"/>
      <c r="W10" s="9"/>
      <c r="X10" s="26" t="s">
        <v>112</v>
      </c>
      <c r="Y10" s="9"/>
      <c r="Z10" s="9"/>
      <c r="AA10" s="10"/>
      <c r="AB10" s="10"/>
      <c r="AC10" s="26" t="s">
        <v>113</v>
      </c>
      <c r="AD10" s="26" t="s">
        <v>113</v>
      </c>
      <c r="AE10" s="26" t="s">
        <v>113</v>
      </c>
      <c r="AF10" s="26" t="s">
        <v>113</v>
      </c>
      <c r="AH10">
        <f t="shared" si="0"/>
        <v>10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26" t="s">
        <v>114</v>
      </c>
      <c r="T11" s="26" t="s">
        <v>116</v>
      </c>
      <c r="U11" s="26" t="s">
        <v>116</v>
      </c>
      <c r="V11" s="26" t="s">
        <v>116</v>
      </c>
      <c r="W11" s="9"/>
      <c r="X11" s="10"/>
      <c r="Y11" s="10"/>
      <c r="Z11" s="26" t="s">
        <v>114</v>
      </c>
      <c r="AA11" s="9"/>
      <c r="AB11" s="26" t="s">
        <v>114</v>
      </c>
      <c r="AC11" s="9"/>
      <c r="AD11" s="9"/>
      <c r="AE11" s="10"/>
      <c r="AF11" s="22"/>
      <c r="AH11">
        <f t="shared" si="0"/>
        <v>6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26" t="s">
        <v>114</v>
      </c>
      <c r="M12" s="9"/>
      <c r="N12" s="9"/>
      <c r="O12" s="10"/>
      <c r="P12" s="10"/>
      <c r="Q12" s="9"/>
      <c r="R12" s="9"/>
      <c r="S12" s="9"/>
      <c r="T12" s="26" t="s">
        <v>179</v>
      </c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2</v>
      </c>
    </row>
    <row r="13" spans="1:34" ht="15.5" x14ac:dyDescent="0.25">
      <c r="A13" s="19" t="s">
        <v>8</v>
      </c>
      <c r="B13" s="16"/>
      <c r="C13" s="28" t="s">
        <v>178</v>
      </c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26" t="s">
        <v>114</v>
      </c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26" t="s">
        <v>114</v>
      </c>
      <c r="K15" s="26" t="s">
        <v>116</v>
      </c>
      <c r="L15" s="26" t="s">
        <v>116</v>
      </c>
      <c r="M15" s="9"/>
      <c r="N15" s="10"/>
      <c r="O15" s="10"/>
      <c r="P15" s="26" t="s">
        <v>178</v>
      </c>
      <c r="Q15" s="26" t="s">
        <v>116</v>
      </c>
      <c r="R15" s="26" t="s">
        <v>116</v>
      </c>
      <c r="S15" s="26" t="s">
        <v>116</v>
      </c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26" t="s">
        <v>178</v>
      </c>
      <c r="AF15" s="26" t="s">
        <v>116</v>
      </c>
      <c r="AH15">
        <f t="shared" si="0"/>
        <v>9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26" t="s">
        <v>114</v>
      </c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26" t="s">
        <v>114</v>
      </c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26" t="s">
        <v>114</v>
      </c>
      <c r="AB17" s="9"/>
      <c r="AC17" s="9"/>
      <c r="AD17" s="10"/>
      <c r="AE17" s="10"/>
      <c r="AF17" s="26" t="s">
        <v>114</v>
      </c>
      <c r="AH17">
        <f t="shared" si="0"/>
        <v>3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26" t="s">
        <v>114</v>
      </c>
      <c r="K18" s="26" t="s">
        <v>116</v>
      </c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26" t="s">
        <v>116</v>
      </c>
      <c r="X18" s="26" t="s">
        <v>116</v>
      </c>
      <c r="Y18" s="9"/>
      <c r="Z18" s="9"/>
      <c r="AA18" s="10"/>
      <c r="AB18" s="10"/>
      <c r="AC18" s="9"/>
      <c r="AD18" s="9"/>
      <c r="AE18" s="9"/>
      <c r="AF18" s="22"/>
      <c r="AH18">
        <f t="shared" si="0"/>
        <v>4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26" t="s">
        <v>114</v>
      </c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44677</v>
      </c>
      <c r="B23" s="63" t="s">
        <v>155</v>
      </c>
      <c r="C23" s="63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>
        <v>44789</v>
      </c>
      <c r="B24" s="51"/>
      <c r="C24" s="51"/>
      <c r="D24" s="16"/>
      <c r="E24" s="51"/>
      <c r="F24" s="51"/>
      <c r="G24" s="16"/>
      <c r="H24" s="62" t="s">
        <v>194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25">
        <v>44887</v>
      </c>
      <c r="B25" s="51"/>
      <c r="C25" s="51"/>
      <c r="D25" s="16"/>
      <c r="E25" s="51"/>
      <c r="F25" s="51"/>
      <c r="G25" s="16"/>
      <c r="H25" s="52" t="s">
        <v>227</v>
      </c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25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25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25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29" spans="1:34" x14ac:dyDescent="0.25">
      <c r="A29" s="25"/>
      <c r="B29" s="63"/>
      <c r="C29" s="63"/>
      <c r="D29" s="16"/>
      <c r="E29" s="51"/>
      <c r="F29" s="51"/>
      <c r="G29" s="16"/>
      <c r="H29" s="52"/>
      <c r="I29" s="53"/>
      <c r="J29" s="53"/>
      <c r="K29" s="53"/>
      <c r="L29" s="53"/>
      <c r="M29" s="54"/>
    </row>
    <row r="30" spans="1:34" x14ac:dyDescent="0.25">
      <c r="A30" s="17"/>
      <c r="B30" s="51"/>
      <c r="C30" s="51"/>
      <c r="D30" s="16"/>
      <c r="E30" s="51"/>
      <c r="F30" s="51"/>
      <c r="G30" s="16"/>
      <c r="H30" s="52"/>
      <c r="I30" s="53"/>
      <c r="J30" s="53"/>
      <c r="K30" s="53"/>
      <c r="L30" s="53"/>
      <c r="M30" s="54"/>
    </row>
    <row r="31" spans="1:34" x14ac:dyDescent="0.25">
      <c r="A31" s="17"/>
      <c r="B31" s="51"/>
      <c r="C31" s="51"/>
      <c r="D31" s="16"/>
      <c r="E31" s="51"/>
      <c r="F31" s="51"/>
      <c r="G31" s="16"/>
      <c r="H31" s="52"/>
      <c r="I31" s="53"/>
      <c r="J31" s="53"/>
      <c r="K31" s="53"/>
      <c r="L31" s="53"/>
      <c r="M31" s="54"/>
    </row>
    <row r="32" spans="1:34" x14ac:dyDescent="0.25">
      <c r="A32" s="17"/>
      <c r="B32" s="51"/>
      <c r="C32" s="51"/>
      <c r="D32" s="16"/>
      <c r="E32" s="51"/>
      <c r="F32" s="51"/>
      <c r="G32" s="16"/>
      <c r="H32" s="52"/>
      <c r="I32" s="53"/>
      <c r="J32" s="53"/>
      <c r="K32" s="53"/>
      <c r="L32" s="53"/>
      <c r="M32" s="54"/>
    </row>
  </sheetData>
  <mergeCells count="36">
    <mergeCell ref="B32:C32"/>
    <mergeCell ref="E32:F32"/>
    <mergeCell ref="H32:M32"/>
    <mergeCell ref="B27:C27"/>
    <mergeCell ref="E27:F27"/>
    <mergeCell ref="H27:M27"/>
    <mergeCell ref="B28:C28"/>
    <mergeCell ref="B29:C29"/>
    <mergeCell ref="E29:F29"/>
    <mergeCell ref="H29:M29"/>
    <mergeCell ref="B31:C31"/>
    <mergeCell ref="E31:F31"/>
    <mergeCell ref="H31:M31"/>
    <mergeCell ref="B30:C30"/>
    <mergeCell ref="E30:F30"/>
    <mergeCell ref="H30:M30"/>
    <mergeCell ref="E24:F24"/>
    <mergeCell ref="H24:M24"/>
    <mergeCell ref="B25:C25"/>
    <mergeCell ref="V1:W1"/>
    <mergeCell ref="A5:J5"/>
    <mergeCell ref="B6:C6"/>
    <mergeCell ref="E6:F6"/>
    <mergeCell ref="H6:J6"/>
    <mergeCell ref="H22:M22"/>
    <mergeCell ref="E25:F25"/>
    <mergeCell ref="H25:M25"/>
    <mergeCell ref="B23:C23"/>
    <mergeCell ref="E23:F23"/>
    <mergeCell ref="H23:M23"/>
    <mergeCell ref="B24:C24"/>
    <mergeCell ref="B26:C26"/>
    <mergeCell ref="E26:F26"/>
    <mergeCell ref="H26:M26"/>
    <mergeCell ref="E28:F28"/>
    <mergeCell ref="H28:M28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4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27</v>
      </c>
      <c r="B1" s="50">
        <f>A1/260</f>
        <v>0.10384615384615385</v>
      </c>
      <c r="C1" s="50">
        <f>1-B1</f>
        <v>0.89615384615384619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54</v>
      </c>
      <c r="E3" s="4"/>
      <c r="F3" s="4"/>
      <c r="G3" s="4"/>
      <c r="H3" s="4"/>
      <c r="I3" s="4"/>
      <c r="J3" s="4"/>
      <c r="N3" t="s">
        <v>2</v>
      </c>
      <c r="O3" s="4"/>
      <c r="P3" s="23">
        <v>35218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26" t="s">
        <v>116</v>
      </c>
      <c r="G8" s="26" t="s">
        <v>116</v>
      </c>
      <c r="H8" s="9"/>
      <c r="I8" s="10"/>
      <c r="J8" s="10"/>
      <c r="K8" s="9"/>
      <c r="L8" s="9"/>
      <c r="M8" s="9"/>
      <c r="N8" s="9"/>
      <c r="O8" s="26" t="s">
        <v>114</v>
      </c>
      <c r="P8" s="10"/>
      <c r="Q8" s="10"/>
      <c r="R8" s="26" t="s">
        <v>125</v>
      </c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4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26" t="s">
        <v>125</v>
      </c>
      <c r="Q9" s="9"/>
      <c r="R9" s="9"/>
      <c r="S9" s="9"/>
      <c r="T9" s="10"/>
      <c r="U9" s="10"/>
      <c r="V9" s="26" t="s">
        <v>125</v>
      </c>
      <c r="W9" s="9"/>
      <c r="X9" s="9"/>
      <c r="Y9" s="26" t="s">
        <v>114</v>
      </c>
      <c r="Z9" s="9"/>
      <c r="AA9" s="10"/>
      <c r="AB9" s="10"/>
      <c r="AC9" s="26" t="s">
        <v>114</v>
      </c>
      <c r="AD9" s="22"/>
      <c r="AE9" s="22"/>
      <c r="AF9" s="22"/>
      <c r="AH9">
        <f t="shared" ref="AH9:AH19" si="0">COUNTA(B9:AF9)</f>
        <v>4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26" t="s">
        <v>157</v>
      </c>
      <c r="E12" s="16"/>
      <c r="F12" s="26" t="s">
        <v>114</v>
      </c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2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26" t="s">
        <v>113</v>
      </c>
      <c r="G14" s="26" t="s">
        <v>113</v>
      </c>
      <c r="H14" s="26" t="s">
        <v>113</v>
      </c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26" t="s">
        <v>184</v>
      </c>
      <c r="V14" s="9"/>
      <c r="W14" s="9"/>
      <c r="X14" s="10"/>
      <c r="Y14" s="10"/>
      <c r="Z14" s="9"/>
      <c r="AA14" s="9"/>
      <c r="AB14" s="26" t="s">
        <v>179</v>
      </c>
      <c r="AC14" s="9"/>
      <c r="AD14" s="9"/>
      <c r="AE14" s="10"/>
      <c r="AF14" s="10"/>
      <c r="AH14">
        <f t="shared" si="0"/>
        <v>5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26" t="s">
        <v>113</v>
      </c>
      <c r="L15" s="9"/>
      <c r="M15" s="9"/>
      <c r="N15" s="10"/>
      <c r="O15" s="10"/>
      <c r="P15" s="26" t="s">
        <v>149</v>
      </c>
      <c r="Q15" s="26" t="s">
        <v>114</v>
      </c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3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26" t="s">
        <v>113</v>
      </c>
      <c r="P16" s="26" t="s">
        <v>113</v>
      </c>
      <c r="Q16" s="9"/>
      <c r="R16" s="10"/>
      <c r="S16" s="10"/>
      <c r="T16" s="9"/>
      <c r="U16" s="9"/>
      <c r="V16" s="9"/>
      <c r="W16" s="26" t="s">
        <v>179</v>
      </c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3</v>
      </c>
    </row>
    <row r="17" spans="1:34" ht="15.5" x14ac:dyDescent="0.3">
      <c r="A17" s="19" t="s">
        <v>12</v>
      </c>
      <c r="B17" s="10"/>
      <c r="C17" s="10"/>
      <c r="D17" s="36" t="s">
        <v>179</v>
      </c>
      <c r="E17" s="16"/>
      <c r="F17" s="26" t="s">
        <v>114</v>
      </c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252</v>
      </c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26" t="s">
        <v>113</v>
      </c>
      <c r="J19" s="9"/>
      <c r="K19" s="10"/>
      <c r="L19" s="10"/>
      <c r="M19" s="26" t="s">
        <v>179</v>
      </c>
      <c r="N19" s="9"/>
      <c r="O19" s="9"/>
      <c r="P19" s="26" t="s">
        <v>113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3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44578</v>
      </c>
      <c r="B23" s="51"/>
      <c r="C23" s="51"/>
      <c r="D23" s="16"/>
      <c r="E23" s="51"/>
      <c r="F23" s="51"/>
      <c r="G23" s="16"/>
      <c r="H23" s="52" t="s">
        <v>135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>
        <v>44607</v>
      </c>
      <c r="B24" s="51"/>
      <c r="C24" s="51"/>
      <c r="D24" s="16"/>
      <c r="E24" s="51"/>
      <c r="F24" s="51"/>
      <c r="G24" s="16"/>
      <c r="H24" s="52" t="s">
        <v>136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25">
        <v>44613</v>
      </c>
      <c r="B25" s="51"/>
      <c r="C25" s="51"/>
      <c r="D25" s="16"/>
      <c r="E25" s="51"/>
      <c r="F25" s="51"/>
      <c r="G25" s="16"/>
      <c r="H25" s="52" t="s">
        <v>136</v>
      </c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5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8</v>
      </c>
      <c r="B1" s="50">
        <f>A1/260</f>
        <v>3.0769230769230771E-2</v>
      </c>
      <c r="C1" s="50">
        <f>1-B1</f>
        <v>0.96923076923076923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55</v>
      </c>
      <c r="E3" s="4"/>
      <c r="F3" s="4"/>
      <c r="G3" s="4"/>
      <c r="H3" s="4"/>
      <c r="I3" s="4"/>
      <c r="J3" s="4"/>
      <c r="N3" t="s">
        <v>2</v>
      </c>
      <c r="O3" s="4"/>
      <c r="P3" s="23">
        <v>36171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26" t="s">
        <v>113</v>
      </c>
      <c r="L8" s="26" t="s">
        <v>116</v>
      </c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2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26" t="s">
        <v>143</v>
      </c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1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26" t="s">
        <v>198</v>
      </c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26" t="s">
        <v>113</v>
      </c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26" t="s">
        <v>113</v>
      </c>
      <c r="G19" s="26" t="s">
        <v>113</v>
      </c>
      <c r="H19" s="26" t="s">
        <v>113</v>
      </c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3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52" t="s">
        <v>118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6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21</v>
      </c>
      <c r="B1" s="50">
        <f>A1/260</f>
        <v>8.0769230769230774E-2</v>
      </c>
      <c r="C1" s="50">
        <f>1-B1</f>
        <v>0.91923076923076918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56</v>
      </c>
      <c r="E3" s="4"/>
      <c r="F3" s="4"/>
      <c r="G3" s="4"/>
      <c r="H3" s="4"/>
      <c r="I3" s="4"/>
      <c r="J3" s="4"/>
      <c r="N3" t="s">
        <v>2</v>
      </c>
      <c r="O3" s="4"/>
      <c r="P3" s="23">
        <v>35905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26" t="s">
        <v>113</v>
      </c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1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26" t="s">
        <v>116</v>
      </c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26" t="s">
        <v>119</v>
      </c>
      <c r="K10" s="26" t="s">
        <v>116</v>
      </c>
      <c r="L10" s="9"/>
      <c r="M10" s="10"/>
      <c r="N10" s="10"/>
      <c r="O10" s="9"/>
      <c r="P10" s="26" t="s">
        <v>112</v>
      </c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26" t="s">
        <v>114</v>
      </c>
      <c r="AF10" s="9"/>
      <c r="AH10">
        <f t="shared" si="0"/>
        <v>4</v>
      </c>
    </row>
    <row r="11" spans="1:34" ht="15.5" x14ac:dyDescent="0.25">
      <c r="A11" s="19" t="s">
        <v>6</v>
      </c>
      <c r="B11" s="16"/>
      <c r="C11" s="10"/>
      <c r="D11" s="10"/>
      <c r="E11" s="27" t="s">
        <v>112</v>
      </c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26" t="s">
        <v>142</v>
      </c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3">
      <c r="A12" s="19" t="s">
        <v>7</v>
      </c>
      <c r="B12" s="16"/>
      <c r="C12" s="16"/>
      <c r="D12" s="36" t="s">
        <v>113</v>
      </c>
      <c r="E12" s="16"/>
      <c r="F12" s="9"/>
      <c r="G12" s="9"/>
      <c r="H12" s="10"/>
      <c r="I12" s="10"/>
      <c r="J12" s="9"/>
      <c r="K12" s="26" t="s">
        <v>114</v>
      </c>
      <c r="L12" s="9"/>
      <c r="M12" s="9"/>
      <c r="N12" s="9"/>
      <c r="O12" s="10"/>
      <c r="P12" s="10"/>
      <c r="Q12" s="9"/>
      <c r="R12" s="26" t="s">
        <v>113</v>
      </c>
      <c r="S12" s="26" t="s">
        <v>113</v>
      </c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4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26" t="s">
        <v>113</v>
      </c>
      <c r="G14" s="26" t="s">
        <v>113</v>
      </c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26" t="s">
        <v>116</v>
      </c>
      <c r="T14" s="26" t="s">
        <v>116</v>
      </c>
      <c r="U14" s="26" t="s">
        <v>116</v>
      </c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5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26" t="s">
        <v>113</v>
      </c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26" t="s">
        <v>178</v>
      </c>
      <c r="Z17" s="26" t="s">
        <v>114</v>
      </c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26" t="s">
        <v>114</v>
      </c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44760</v>
      </c>
      <c r="B23" s="51"/>
      <c r="C23" s="51"/>
      <c r="D23" s="16"/>
      <c r="E23" s="51"/>
      <c r="F23" s="51"/>
      <c r="G23" s="16"/>
      <c r="H23" s="52" t="s">
        <v>195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7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18</v>
      </c>
      <c r="B1" s="50">
        <f>A1/260</f>
        <v>6.9230769230769235E-2</v>
      </c>
      <c r="C1" s="50">
        <f>1-B1</f>
        <v>0.93076923076923079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222</v>
      </c>
      <c r="E3" s="4"/>
      <c r="F3" s="4"/>
      <c r="G3" s="4"/>
      <c r="H3" s="4"/>
      <c r="I3" s="4"/>
      <c r="J3" s="4"/>
      <c r="N3" t="s">
        <v>2</v>
      </c>
      <c r="O3" s="4"/>
      <c r="P3" s="23">
        <v>44830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45" t="s">
        <v>118</v>
      </c>
      <c r="N8" s="45" t="s">
        <v>118</v>
      </c>
      <c r="O8" s="9"/>
      <c r="P8" s="10"/>
      <c r="Q8" s="10"/>
      <c r="R8" s="45" t="s">
        <v>118</v>
      </c>
      <c r="S8" s="45" t="s">
        <v>118</v>
      </c>
      <c r="T8" s="45" t="s">
        <v>118</v>
      </c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45" t="s">
        <v>118</v>
      </c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45" t="s">
        <v>118</v>
      </c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45" t="s">
        <v>118</v>
      </c>
      <c r="P10" s="9"/>
      <c r="Q10" s="9"/>
      <c r="R10" s="9"/>
      <c r="S10" s="9"/>
      <c r="T10" s="10"/>
      <c r="U10" s="10"/>
      <c r="V10" s="9"/>
      <c r="W10" s="9"/>
      <c r="X10" s="9"/>
      <c r="Y10" s="45" t="s">
        <v>118</v>
      </c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45" t="s">
        <v>118</v>
      </c>
      <c r="I11" s="9"/>
      <c r="J11" s="10"/>
      <c r="K11" s="10"/>
      <c r="L11" s="9"/>
      <c r="M11" s="9"/>
      <c r="N11" s="9"/>
      <c r="O11" s="9"/>
      <c r="P11" s="9"/>
      <c r="Q11" s="10"/>
      <c r="R11" s="10"/>
      <c r="S11" s="45" t="s">
        <v>118</v>
      </c>
      <c r="T11" s="9"/>
      <c r="U11" s="9"/>
      <c r="V11" s="9"/>
      <c r="W11" s="9"/>
      <c r="X11" s="10"/>
      <c r="Y11" s="10"/>
      <c r="Z11" s="9"/>
      <c r="AA11" s="9"/>
      <c r="AB11" s="9"/>
      <c r="AC11" s="45" t="s">
        <v>118</v>
      </c>
      <c r="AD11" s="9"/>
      <c r="AE11" s="10"/>
      <c r="AF11" s="22"/>
      <c r="AH11">
        <f t="shared" si="0"/>
        <v>3</v>
      </c>
    </row>
    <row r="12" spans="1:34" ht="15.5" x14ac:dyDescent="0.3">
      <c r="A12" s="19" t="s">
        <v>7</v>
      </c>
      <c r="B12" s="16"/>
      <c r="C12" s="44" t="s">
        <v>118</v>
      </c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43" t="s">
        <v>118</v>
      </c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45" t="s">
        <v>118</v>
      </c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45" t="s">
        <v>118</v>
      </c>
      <c r="Q15" s="9"/>
      <c r="R15" s="45" t="s">
        <v>118</v>
      </c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179</v>
      </c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18</v>
      </c>
      <c r="B1" s="50">
        <f>A1/260</f>
        <v>6.9230769230769235E-2</v>
      </c>
      <c r="C1" s="50">
        <f>1-B1</f>
        <v>0.93076923076923079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57</v>
      </c>
      <c r="E3" s="4"/>
      <c r="F3" s="4"/>
      <c r="G3" s="4"/>
      <c r="H3" s="4"/>
      <c r="I3" s="4"/>
      <c r="J3" s="4"/>
      <c r="N3" t="s">
        <v>2</v>
      </c>
      <c r="O3" s="4"/>
      <c r="P3" s="23">
        <v>44333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26" t="s">
        <v>113</v>
      </c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114</v>
      </c>
      <c r="S8" s="26" t="s">
        <v>116</v>
      </c>
      <c r="T8" s="26" t="s">
        <v>116</v>
      </c>
      <c r="U8" s="26" t="s">
        <v>116</v>
      </c>
      <c r="V8" s="9"/>
      <c r="W8" s="10"/>
      <c r="X8" s="10"/>
      <c r="Y8" s="9"/>
      <c r="Z8" s="9"/>
      <c r="AA8" s="26" t="s">
        <v>114</v>
      </c>
      <c r="AB8" s="9"/>
      <c r="AC8" s="9"/>
      <c r="AD8" s="10"/>
      <c r="AE8" s="10"/>
      <c r="AF8" s="9"/>
      <c r="AH8">
        <f>COUNTA(B8:AF8)</f>
        <v>6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26" t="s">
        <v>114</v>
      </c>
      <c r="V11" s="26" t="s">
        <v>116</v>
      </c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26"/>
      <c r="P13" s="26" t="s">
        <v>179</v>
      </c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26" t="s">
        <v>114</v>
      </c>
      <c r="V14" s="26" t="s">
        <v>114</v>
      </c>
      <c r="W14" s="9"/>
      <c r="X14" s="10"/>
      <c r="Y14" s="10"/>
      <c r="Z14" s="26" t="s">
        <v>114</v>
      </c>
      <c r="AA14" s="9"/>
      <c r="AB14" s="9"/>
      <c r="AC14" s="9"/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26" t="s">
        <v>113</v>
      </c>
      <c r="AE15" s="26" t="s">
        <v>113</v>
      </c>
      <c r="AF15" s="26" t="s">
        <v>113</v>
      </c>
      <c r="AH15">
        <f t="shared" si="0"/>
        <v>3</v>
      </c>
    </row>
    <row r="16" spans="1:34" ht="15.5" x14ac:dyDescent="0.25">
      <c r="A16" s="19" t="s">
        <v>11</v>
      </c>
      <c r="B16" s="26" t="s">
        <v>113</v>
      </c>
      <c r="C16" s="9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26" t="s">
        <v>179</v>
      </c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26" t="s">
        <v>114</v>
      </c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52" t="s">
        <v>118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honeticPr fontId="9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9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35</v>
      </c>
      <c r="B1" s="50">
        <f>A1/260</f>
        <v>0.13461538461538461</v>
      </c>
      <c r="C1" s="50">
        <f>1-B1</f>
        <v>0.86538461538461542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58</v>
      </c>
      <c r="E3" s="4"/>
      <c r="F3" s="4"/>
      <c r="G3" s="4"/>
      <c r="H3" s="4"/>
      <c r="I3" s="4"/>
      <c r="J3" s="4"/>
      <c r="N3" t="s">
        <v>2</v>
      </c>
      <c r="O3" s="4"/>
      <c r="P3" s="23">
        <v>36543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26" t="s">
        <v>112</v>
      </c>
      <c r="H8" s="26" t="s">
        <v>114</v>
      </c>
      <c r="I8" s="10"/>
      <c r="J8" s="10"/>
      <c r="K8" s="9" t="s">
        <v>114</v>
      </c>
      <c r="L8" s="26" t="s">
        <v>116</v>
      </c>
      <c r="M8" s="26" t="s">
        <v>116</v>
      </c>
      <c r="N8" s="26" t="s">
        <v>116</v>
      </c>
      <c r="O8" s="9"/>
      <c r="P8" s="10"/>
      <c r="Q8" s="10"/>
      <c r="R8" s="9"/>
      <c r="S8" s="26" t="s">
        <v>112</v>
      </c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7</v>
      </c>
    </row>
    <row r="9" spans="1:34" ht="15.5" x14ac:dyDescent="0.25">
      <c r="A9" s="19" t="s">
        <v>4</v>
      </c>
      <c r="B9" s="27" t="s">
        <v>113</v>
      </c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26" t="s">
        <v>114</v>
      </c>
      <c r="R9" s="26" t="s">
        <v>116</v>
      </c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3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26" t="s">
        <v>113</v>
      </c>
      <c r="P10" s="26" t="s">
        <v>113</v>
      </c>
      <c r="Q10" s="26" t="s">
        <v>113</v>
      </c>
      <c r="R10" s="26" t="s">
        <v>113</v>
      </c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4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26" t="s">
        <v>179</v>
      </c>
      <c r="J13" s="26" t="s">
        <v>179</v>
      </c>
      <c r="K13" s="9"/>
      <c r="L13" s="10"/>
      <c r="M13" s="10"/>
      <c r="N13" s="9"/>
      <c r="O13" s="9"/>
      <c r="P13" s="26" t="s">
        <v>114</v>
      </c>
      <c r="Q13" s="26" t="s">
        <v>113</v>
      </c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4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26" t="s">
        <v>113</v>
      </c>
      <c r="V14" s="26" t="s">
        <v>113</v>
      </c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2</v>
      </c>
    </row>
    <row r="15" spans="1:34" ht="15.5" x14ac:dyDescent="0.25">
      <c r="A15" s="19" t="s">
        <v>10</v>
      </c>
      <c r="B15" s="16"/>
      <c r="C15" s="26" t="s">
        <v>113</v>
      </c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26" t="s">
        <v>178</v>
      </c>
      <c r="Z15" s="26" t="s">
        <v>116</v>
      </c>
      <c r="AA15" s="9"/>
      <c r="AB15" s="10"/>
      <c r="AC15" s="10"/>
      <c r="AD15" s="9"/>
      <c r="AE15" s="9"/>
      <c r="AF15" s="9"/>
      <c r="AH15">
        <f t="shared" si="0"/>
        <v>3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26" t="s">
        <v>113</v>
      </c>
      <c r="P16" s="9"/>
      <c r="Q16" s="9"/>
      <c r="R16" s="10"/>
      <c r="S16" s="10"/>
      <c r="T16" s="9"/>
      <c r="U16" s="26" t="s">
        <v>141</v>
      </c>
      <c r="V16" s="26" t="s">
        <v>141</v>
      </c>
      <c r="W16" s="26" t="s">
        <v>141</v>
      </c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4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26" t="s">
        <v>113</v>
      </c>
      <c r="L17" s="26" t="s">
        <v>113</v>
      </c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26" t="s">
        <v>113</v>
      </c>
      <c r="I18" s="9"/>
      <c r="J18" s="26" t="s">
        <v>178</v>
      </c>
      <c r="K18" s="26" t="s">
        <v>116</v>
      </c>
      <c r="L18" s="9"/>
      <c r="M18" s="10"/>
      <c r="N18" s="10"/>
      <c r="O18" s="26" t="s">
        <v>170</v>
      </c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4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113</v>
      </c>
      <c r="N19" s="9"/>
      <c r="O19" s="9"/>
      <c r="P19" s="26" t="s">
        <v>113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44567</v>
      </c>
      <c r="B23" s="51"/>
      <c r="C23" s="51"/>
      <c r="D23" s="16"/>
      <c r="E23" s="51"/>
      <c r="F23" s="51"/>
      <c r="G23" s="16"/>
      <c r="H23" s="52" t="s">
        <v>120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>
        <v>44579</v>
      </c>
      <c r="B24" s="51"/>
      <c r="C24" s="51"/>
      <c r="D24" s="16"/>
      <c r="E24" s="51"/>
      <c r="F24" s="51"/>
      <c r="G24" s="16"/>
      <c r="H24" s="52" t="s">
        <v>120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0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18</v>
      </c>
      <c r="B1" s="50">
        <f>A1/260</f>
        <v>6.9230769230769235E-2</v>
      </c>
      <c r="C1" s="50">
        <f>1-B1</f>
        <v>0.93076923076923079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59</v>
      </c>
      <c r="E3" s="4"/>
      <c r="F3" s="4"/>
      <c r="G3" s="4"/>
      <c r="H3" s="4"/>
      <c r="I3" s="4"/>
      <c r="J3" s="4"/>
      <c r="N3" t="s">
        <v>2</v>
      </c>
      <c r="O3" s="4"/>
      <c r="P3" s="23">
        <v>41659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26" t="s">
        <v>125</v>
      </c>
      <c r="N8" s="26" t="s">
        <v>113</v>
      </c>
      <c r="O8" s="9"/>
      <c r="P8" s="10"/>
      <c r="Q8" s="10"/>
      <c r="R8" s="26" t="s">
        <v>116</v>
      </c>
      <c r="S8" s="26" t="s">
        <v>116</v>
      </c>
      <c r="T8" s="26" t="s">
        <v>125</v>
      </c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26" t="s">
        <v>113</v>
      </c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26" t="s">
        <v>113</v>
      </c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26" t="s">
        <v>113</v>
      </c>
      <c r="P10" s="9"/>
      <c r="Q10" s="9"/>
      <c r="R10" s="9"/>
      <c r="S10" s="9"/>
      <c r="T10" s="10"/>
      <c r="U10" s="10"/>
      <c r="V10" s="9"/>
      <c r="W10" s="9"/>
      <c r="X10" s="9"/>
      <c r="Y10" s="26" t="s">
        <v>112</v>
      </c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26" t="s">
        <v>113</v>
      </c>
      <c r="I11" s="9"/>
      <c r="J11" s="10"/>
      <c r="K11" s="10"/>
      <c r="L11" s="9"/>
      <c r="M11" s="9"/>
      <c r="N11" s="9"/>
      <c r="O11" s="9"/>
      <c r="P11" s="9"/>
      <c r="Q11" s="10"/>
      <c r="R11" s="10"/>
      <c r="S11" s="26" t="s">
        <v>139</v>
      </c>
      <c r="T11" s="9"/>
      <c r="U11" s="9"/>
      <c r="V11" s="9"/>
      <c r="W11" s="9"/>
      <c r="X11" s="10"/>
      <c r="Y11" s="10"/>
      <c r="Z11" s="9"/>
      <c r="AA11" s="9"/>
      <c r="AB11" s="9"/>
      <c r="AC11" s="26" t="s">
        <v>157</v>
      </c>
      <c r="AD11" s="9"/>
      <c r="AE11" s="10"/>
      <c r="AF11" s="22"/>
      <c r="AH11">
        <f t="shared" si="0"/>
        <v>3</v>
      </c>
    </row>
    <row r="12" spans="1:34" ht="15.5" x14ac:dyDescent="0.3">
      <c r="A12" s="19" t="s">
        <v>7</v>
      </c>
      <c r="B12" s="16"/>
      <c r="C12" s="36" t="s">
        <v>113</v>
      </c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29" t="s">
        <v>143</v>
      </c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26" t="s">
        <v>167</v>
      </c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26" t="s">
        <v>114</v>
      </c>
      <c r="Q15" s="9"/>
      <c r="R15" s="26" t="s">
        <v>184</v>
      </c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26" t="s">
        <v>114</v>
      </c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1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8" customWidth="1"/>
    <col min="15" max="16" width="9.81640625" customWidth="1"/>
    <col min="17" max="17" width="8.81640625" customWidth="1"/>
    <col min="18" max="18" width="7.81640625" customWidth="1"/>
    <col min="19" max="19" width="8.1796875" customWidth="1"/>
    <col min="20" max="20" width="7.54296875" customWidth="1"/>
    <col min="21" max="21" width="8" customWidth="1"/>
    <col min="22" max="22" width="9.1796875" customWidth="1"/>
    <col min="23" max="23" width="8.81640625" customWidth="1"/>
    <col min="24" max="24" width="8.54296875" customWidth="1"/>
    <col min="25" max="25" width="8.81640625" customWidth="1"/>
    <col min="26" max="28" width="7.816406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14</v>
      </c>
      <c r="B1" s="50">
        <f>A1/260</f>
        <v>5.3846153846153849E-2</v>
      </c>
      <c r="C1" s="50">
        <f>1-B1</f>
        <v>0.94615384615384612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60</v>
      </c>
      <c r="E3" s="4"/>
      <c r="F3" s="4"/>
      <c r="G3" s="4"/>
      <c r="H3" s="4"/>
      <c r="I3" s="4"/>
      <c r="J3" s="4"/>
      <c r="N3" t="s">
        <v>2</v>
      </c>
      <c r="O3" s="4"/>
      <c r="P3" s="23">
        <v>44082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26" t="s">
        <v>112</v>
      </c>
      <c r="L8" s="26" t="s">
        <v>114</v>
      </c>
      <c r="M8" s="26" t="s">
        <v>116</v>
      </c>
      <c r="N8" s="26" t="s">
        <v>116</v>
      </c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4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26" t="s">
        <v>125</v>
      </c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26" t="s">
        <v>125</v>
      </c>
      <c r="Y10" s="9"/>
      <c r="Z10" s="9"/>
      <c r="AA10" s="10"/>
      <c r="AB10" s="10"/>
      <c r="AC10" s="9"/>
      <c r="AD10" s="9"/>
      <c r="AE10" s="9"/>
      <c r="AF10" s="9"/>
      <c r="AH10">
        <f t="shared" si="0"/>
        <v>1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26" t="s">
        <v>125</v>
      </c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26" t="s">
        <v>178</v>
      </c>
      <c r="I13" s="26" t="s">
        <v>113</v>
      </c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29" t="s">
        <v>197</v>
      </c>
      <c r="E15" s="29" t="s">
        <v>113</v>
      </c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26" t="s">
        <v>178</v>
      </c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26" t="s">
        <v>178</v>
      </c>
      <c r="R18" s="9"/>
      <c r="S18" s="9"/>
      <c r="T18" s="10"/>
      <c r="U18" s="10"/>
      <c r="V18" s="26" t="s">
        <v>249</v>
      </c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44571</v>
      </c>
      <c r="B23" s="51"/>
      <c r="C23" s="51"/>
      <c r="D23" s="16"/>
      <c r="E23" s="51"/>
      <c r="F23" s="51"/>
      <c r="G23" s="16"/>
      <c r="H23" s="52" t="s">
        <v>129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honeticPr fontId="1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2"/>
  <dimension ref="A1:AH28"/>
  <sheetViews>
    <sheetView zoomScale="85" zoomScaleNormal="85" workbookViewId="0">
      <selection activeCell="AH8" sqref="AH8:AH19"/>
    </sheetView>
  </sheetViews>
  <sheetFormatPr defaultRowHeight="12.5" x14ac:dyDescent="0.25"/>
  <cols>
    <col min="16" max="16" width="10.1796875" bestFit="1" customWidth="1"/>
  </cols>
  <sheetData>
    <row r="1" spans="1:34" ht="18" x14ac:dyDescent="0.4">
      <c r="A1" s="1">
        <f>COUNTA(B8:AF19)</f>
        <v>14</v>
      </c>
      <c r="B1" s="50">
        <f>A1/260</f>
        <v>5.3846153846153849E-2</v>
      </c>
      <c r="C1" s="50">
        <f>1-B1</f>
        <v>0.94615384615384612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232</v>
      </c>
      <c r="E3" s="4"/>
      <c r="F3" s="4"/>
      <c r="G3" s="4"/>
      <c r="H3" s="4"/>
      <c r="I3" s="4"/>
      <c r="J3" s="4"/>
      <c r="N3" t="s">
        <v>2</v>
      </c>
      <c r="O3" s="4"/>
      <c r="P3" s="23">
        <v>44859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 t="s">
        <v>118</v>
      </c>
      <c r="J15" s="9"/>
      <c r="K15" s="9"/>
      <c r="L15" s="9" t="s">
        <v>118</v>
      </c>
      <c r="M15" s="9"/>
      <c r="N15" s="10"/>
      <c r="O15" s="10"/>
      <c r="P15" s="9" t="s">
        <v>118</v>
      </c>
      <c r="Q15" s="9"/>
      <c r="R15" s="9"/>
      <c r="S15" s="9"/>
      <c r="T15" s="9"/>
      <c r="U15" s="10"/>
      <c r="V15" s="10"/>
      <c r="W15" s="9"/>
      <c r="X15" s="9" t="s">
        <v>118</v>
      </c>
      <c r="Y15" s="9" t="s">
        <v>118</v>
      </c>
      <c r="Z15" s="9"/>
      <c r="AA15" s="9"/>
      <c r="AB15" s="10"/>
      <c r="AC15" s="10"/>
      <c r="AD15" s="9"/>
      <c r="AE15" s="26" t="s">
        <v>178</v>
      </c>
      <c r="AF15" s="9"/>
      <c r="AH15">
        <f t="shared" si="0"/>
        <v>6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 t="s">
        <v>118</v>
      </c>
      <c r="I16" s="9"/>
      <c r="J16" s="9"/>
      <c r="K16" s="10"/>
      <c r="L16" s="10"/>
      <c r="M16" s="9"/>
      <c r="N16" s="9" t="s">
        <v>118</v>
      </c>
      <c r="O16" s="9"/>
      <c r="P16" s="9"/>
      <c r="Q16" s="9"/>
      <c r="R16" s="10"/>
      <c r="S16" s="10"/>
      <c r="T16" s="9" t="s">
        <v>118</v>
      </c>
      <c r="U16" s="9" t="s">
        <v>118</v>
      </c>
      <c r="V16" s="9" t="s">
        <v>118</v>
      </c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5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 t="s">
        <v>118</v>
      </c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141</v>
      </c>
      <c r="AE18" s="26" t="s">
        <v>141</v>
      </c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N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33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11</v>
      </c>
      <c r="B1" s="50">
        <f>A1/260</f>
        <v>4.230769230769231E-2</v>
      </c>
      <c r="C1" s="50">
        <f>1-B1</f>
        <v>0.95769230769230773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61</v>
      </c>
      <c r="E3" s="4"/>
      <c r="F3" s="4"/>
      <c r="G3" s="4"/>
      <c r="H3" s="4"/>
      <c r="I3" s="4"/>
      <c r="J3" s="4"/>
      <c r="N3" t="s">
        <v>2</v>
      </c>
      <c r="O3" s="4"/>
      <c r="P3" s="23">
        <v>43633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26" t="s">
        <v>112</v>
      </c>
      <c r="Z8" s="9"/>
      <c r="AA8" s="9"/>
      <c r="AB8" s="26" t="s">
        <v>112</v>
      </c>
      <c r="AC8" s="9"/>
      <c r="AD8" s="10"/>
      <c r="AE8" s="10"/>
      <c r="AF8" s="9"/>
      <c r="AH8">
        <f>COUNTA(B8:AF8)</f>
        <v>2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26" t="s">
        <v>112</v>
      </c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26" t="s">
        <v>137</v>
      </c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26" t="s">
        <v>113</v>
      </c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26" t="s">
        <v>113</v>
      </c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42" t="s">
        <v>143</v>
      </c>
      <c r="E17" s="16"/>
      <c r="F17" s="9"/>
      <c r="G17" s="9"/>
      <c r="H17" s="9"/>
      <c r="I17" s="10"/>
      <c r="J17" s="10"/>
      <c r="K17" s="26" t="s">
        <v>114</v>
      </c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26" t="s">
        <v>114</v>
      </c>
      <c r="AB17" s="26" t="s">
        <v>114</v>
      </c>
      <c r="AC17" s="9"/>
      <c r="AD17" s="10"/>
      <c r="AE17" s="10"/>
      <c r="AF17" s="9"/>
      <c r="AH17">
        <f t="shared" si="0"/>
        <v>4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26" t="s">
        <v>114</v>
      </c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44585</v>
      </c>
      <c r="B23" s="51"/>
      <c r="C23" s="51"/>
      <c r="D23" s="16"/>
      <c r="E23" s="51"/>
      <c r="F23" s="51"/>
      <c r="G23" s="16"/>
      <c r="H23" s="52" t="s">
        <v>129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44588</v>
      </c>
      <c r="B24" s="51"/>
      <c r="C24" s="51"/>
      <c r="D24" s="16"/>
      <c r="E24" s="51"/>
      <c r="F24" s="51"/>
      <c r="G24" s="16"/>
      <c r="H24" s="52" t="s">
        <v>129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>
        <v>44601</v>
      </c>
      <c r="B25" s="51"/>
      <c r="C25" s="51"/>
      <c r="D25" s="16"/>
      <c r="E25" s="51"/>
      <c r="F25" s="51"/>
      <c r="G25" s="16"/>
      <c r="H25" s="52" t="s">
        <v>129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N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4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6</v>
      </c>
      <c r="B1" s="50">
        <f>A1/260</f>
        <v>2.3076923076923078E-2</v>
      </c>
      <c r="C1" s="50">
        <f>1-B1</f>
        <v>0.97692307692307689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62</v>
      </c>
      <c r="E3" s="4"/>
      <c r="F3" s="4"/>
      <c r="G3" s="4"/>
      <c r="H3" s="4"/>
      <c r="I3" s="4"/>
      <c r="J3" s="4"/>
      <c r="N3" t="s">
        <v>2</v>
      </c>
      <c r="O3" s="4"/>
      <c r="P3" s="23">
        <v>43654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26" t="s">
        <v>112</v>
      </c>
      <c r="Z8" s="9"/>
      <c r="AA8" s="9"/>
      <c r="AB8" s="26" t="s">
        <v>112</v>
      </c>
      <c r="AC8" s="9"/>
      <c r="AD8" s="10"/>
      <c r="AE8" s="10"/>
      <c r="AF8" s="9"/>
      <c r="AH8">
        <f>COUNTA(B8:AF8)</f>
        <v>2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26" t="s">
        <v>112</v>
      </c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26" t="s">
        <v>137</v>
      </c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26" t="s">
        <v>113</v>
      </c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42" t="s">
        <v>143</v>
      </c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44585</v>
      </c>
      <c r="B23" s="51"/>
      <c r="C23" s="51"/>
      <c r="D23" s="16"/>
      <c r="E23" s="51"/>
      <c r="F23" s="51"/>
      <c r="G23" s="16"/>
      <c r="H23" s="52" t="s">
        <v>129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44588</v>
      </c>
      <c r="B24" s="51"/>
      <c r="C24" s="51"/>
      <c r="D24" s="16"/>
      <c r="E24" s="51"/>
      <c r="F24" s="51"/>
      <c r="G24" s="16"/>
      <c r="H24" s="52" t="s">
        <v>129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>
        <v>44601</v>
      </c>
      <c r="B25" s="51"/>
      <c r="C25" s="51"/>
      <c r="D25" s="16"/>
      <c r="E25" s="51"/>
      <c r="F25" s="51"/>
      <c r="G25" s="16"/>
      <c r="H25" s="52" t="s">
        <v>129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N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5"/>
  <dimension ref="A1:AH32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8.453125" customWidth="1"/>
    <col min="4" max="4" width="7.453125" customWidth="1"/>
    <col min="5" max="5" width="7.54296875" customWidth="1"/>
    <col min="6" max="6" width="8" customWidth="1"/>
    <col min="7" max="7" width="7.54296875" customWidth="1"/>
    <col min="8" max="8" width="8.54296875" customWidth="1"/>
    <col min="9" max="9" width="7.81640625" customWidth="1"/>
    <col min="10" max="10" width="8" customWidth="1"/>
    <col min="11" max="11" width="7.54296875" customWidth="1"/>
    <col min="12" max="12" width="8.1796875" customWidth="1"/>
    <col min="13" max="13" width="7.453125" customWidth="1"/>
    <col min="14" max="14" width="7.1796875" customWidth="1"/>
    <col min="15" max="15" width="11.54296875" customWidth="1"/>
    <col min="16" max="16" width="8" customWidth="1"/>
    <col min="17" max="17" width="7.81640625" customWidth="1"/>
    <col min="18" max="18" width="8.453125" customWidth="1"/>
    <col min="19" max="19" width="7.81640625" customWidth="1"/>
    <col min="20" max="20" width="8" customWidth="1"/>
    <col min="21" max="22" width="8.81640625" customWidth="1"/>
    <col min="23" max="23" width="8.1796875" customWidth="1"/>
    <col min="24" max="24" width="7.81640625" customWidth="1"/>
    <col min="25" max="25" width="8.54296875" customWidth="1"/>
    <col min="26" max="26" width="7.81640625" customWidth="1"/>
    <col min="27" max="28" width="7.1796875" customWidth="1"/>
    <col min="29" max="29" width="7.453125" customWidth="1"/>
    <col min="30" max="30" width="7.81640625" customWidth="1"/>
    <col min="31" max="31" width="8.1796875" customWidth="1"/>
    <col min="32" max="32" width="9.1796875" customWidth="1"/>
  </cols>
  <sheetData>
    <row r="1" spans="1:34" ht="18" x14ac:dyDescent="0.4">
      <c r="A1" s="1">
        <f>COUNTA(B8:AF19)</f>
        <v>12</v>
      </c>
      <c r="B1" s="50">
        <f>A1/260</f>
        <v>4.6153846153846156E-2</v>
      </c>
      <c r="C1" s="50">
        <f>1-B1</f>
        <v>0.95384615384615379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221</v>
      </c>
      <c r="E3" s="4"/>
      <c r="F3" s="4"/>
      <c r="G3" s="4"/>
      <c r="H3" s="4"/>
      <c r="I3" s="4"/>
      <c r="J3" s="4"/>
      <c r="L3" t="s">
        <v>2</v>
      </c>
      <c r="O3" s="23">
        <v>44825</v>
      </c>
      <c r="P3" s="4"/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26" t="s">
        <v>178</v>
      </c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26" t="s">
        <v>235</v>
      </c>
      <c r="AC17" s="9"/>
      <c r="AD17" s="10"/>
      <c r="AE17" s="10"/>
      <c r="AF17" s="26" t="s">
        <v>242</v>
      </c>
      <c r="AH17">
        <f t="shared" si="0"/>
        <v>3</v>
      </c>
    </row>
    <row r="18" spans="1:34" ht="15.5" x14ac:dyDescent="0.25">
      <c r="A18" s="19" t="s">
        <v>13</v>
      </c>
      <c r="B18" s="42" t="s">
        <v>179</v>
      </c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26" t="s">
        <v>114</v>
      </c>
      <c r="P18" s="26" t="s">
        <v>114</v>
      </c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116</v>
      </c>
      <c r="AE18" s="9"/>
      <c r="AF18" s="22"/>
      <c r="AH18">
        <f t="shared" si="0"/>
        <v>4</v>
      </c>
    </row>
    <row r="19" spans="1:34" ht="15.5" x14ac:dyDescent="0.25">
      <c r="A19" s="19" t="s">
        <v>14</v>
      </c>
      <c r="B19" s="33" t="s">
        <v>179</v>
      </c>
      <c r="C19" s="16"/>
      <c r="D19" s="10"/>
      <c r="E19" s="10"/>
      <c r="F19" s="26" t="s">
        <v>179</v>
      </c>
      <c r="G19" s="26" t="s">
        <v>114</v>
      </c>
      <c r="H19" s="26" t="s">
        <v>116</v>
      </c>
      <c r="I19" s="9"/>
      <c r="J19" s="9"/>
      <c r="K19" s="10"/>
      <c r="L19" s="10"/>
      <c r="M19" s="9"/>
      <c r="N19" s="26" t="s">
        <v>179</v>
      </c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5</v>
      </c>
    </row>
    <row r="20" spans="1:34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4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  <c r="AF22" s="5"/>
    </row>
    <row r="23" spans="1:34" x14ac:dyDescent="0.25">
      <c r="A23" s="25">
        <v>44908</v>
      </c>
      <c r="B23" s="64" t="s">
        <v>164</v>
      </c>
      <c r="C23" s="51"/>
      <c r="D23" s="16"/>
      <c r="E23" s="51"/>
      <c r="F23" s="51"/>
      <c r="G23" s="16"/>
      <c r="H23" s="62" t="s">
        <v>255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  <c r="AF23" s="5"/>
    </row>
    <row r="24" spans="1:34" x14ac:dyDescent="0.25">
      <c r="A24" s="17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  <c r="AF24" s="5"/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  <c r="AF25" s="5"/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  <c r="AF26" s="5"/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  <c r="AF27" s="5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  <c r="AF28" s="5"/>
    </row>
    <row r="32" spans="1:34" x14ac:dyDescent="0.25">
      <c r="O32" s="47"/>
    </row>
  </sheetData>
  <mergeCells count="24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honeticPr fontId="1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6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23</v>
      </c>
      <c r="B1" s="50">
        <f>A1/260</f>
        <v>8.8461538461538466E-2</v>
      </c>
      <c r="C1" s="50">
        <f>1-B1</f>
        <v>0.91153846153846152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63</v>
      </c>
      <c r="E3" s="4"/>
      <c r="F3" s="4"/>
      <c r="G3" s="4"/>
      <c r="H3" s="4"/>
      <c r="I3" s="4"/>
      <c r="J3" s="4"/>
      <c r="N3" t="s">
        <v>2</v>
      </c>
      <c r="O3" s="4"/>
      <c r="P3" s="23">
        <v>43402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26" t="s">
        <v>125</v>
      </c>
      <c r="F8" s="9"/>
      <c r="G8" s="9"/>
      <c r="H8" s="26" t="s">
        <v>114</v>
      </c>
      <c r="I8" s="10"/>
      <c r="J8" s="10"/>
      <c r="K8" s="9"/>
      <c r="L8" s="9"/>
      <c r="M8" s="26" t="s">
        <v>125</v>
      </c>
      <c r="N8" s="26" t="s">
        <v>112</v>
      </c>
      <c r="O8" s="9"/>
      <c r="P8" s="10"/>
      <c r="Q8" s="10"/>
      <c r="R8" s="26" t="s">
        <v>116</v>
      </c>
      <c r="S8" s="26" t="s">
        <v>116</v>
      </c>
      <c r="T8" s="26" t="s">
        <v>116</v>
      </c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7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26" t="s">
        <v>125</v>
      </c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27" t="s">
        <v>125</v>
      </c>
      <c r="C10" s="16"/>
      <c r="D10" s="16"/>
      <c r="E10" s="16"/>
      <c r="F10" s="10"/>
      <c r="G10" s="10"/>
      <c r="H10" s="9"/>
      <c r="I10" s="9"/>
      <c r="J10" s="26" t="s">
        <v>125</v>
      </c>
      <c r="K10" s="9"/>
      <c r="L10" s="9"/>
      <c r="M10" s="10"/>
      <c r="N10" s="10"/>
      <c r="O10" s="26" t="s">
        <v>125</v>
      </c>
      <c r="P10" s="9"/>
      <c r="Q10" s="9"/>
      <c r="R10" s="9"/>
      <c r="S10" s="9"/>
      <c r="T10" s="10"/>
      <c r="U10" s="10"/>
      <c r="V10" s="9"/>
      <c r="W10" s="9"/>
      <c r="X10" s="9"/>
      <c r="Y10" s="26" t="s">
        <v>113</v>
      </c>
      <c r="Z10" s="9"/>
      <c r="AA10" s="10"/>
      <c r="AB10" s="10"/>
      <c r="AC10" s="9"/>
      <c r="AD10" s="9"/>
      <c r="AE10" s="9"/>
      <c r="AF10" s="9"/>
      <c r="AH10">
        <f t="shared" si="0"/>
        <v>4</v>
      </c>
    </row>
    <row r="11" spans="1:34" ht="15.5" x14ac:dyDescent="0.25">
      <c r="A11" s="19" t="s">
        <v>6</v>
      </c>
      <c r="B11" s="16"/>
      <c r="C11" s="10"/>
      <c r="D11" s="10"/>
      <c r="E11" s="27" t="s">
        <v>111</v>
      </c>
      <c r="F11" s="9"/>
      <c r="G11" s="26" t="s">
        <v>111</v>
      </c>
      <c r="H11" s="26" t="s">
        <v>116</v>
      </c>
      <c r="I11" s="9"/>
      <c r="J11" s="10"/>
      <c r="K11" s="10"/>
      <c r="L11" s="9"/>
      <c r="M11" s="26" t="s">
        <v>114</v>
      </c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4</v>
      </c>
    </row>
    <row r="12" spans="1:34" ht="15.5" x14ac:dyDescent="0.3">
      <c r="A12" s="19" t="s">
        <v>7</v>
      </c>
      <c r="B12" s="16"/>
      <c r="C12" s="37" t="s">
        <v>157</v>
      </c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26" t="s">
        <v>116</v>
      </c>
      <c r="O13" s="26" t="s">
        <v>116</v>
      </c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15.5" x14ac:dyDescent="0.25">
      <c r="A14" s="19" t="s">
        <v>9</v>
      </c>
      <c r="B14" s="16"/>
      <c r="C14" s="10"/>
      <c r="D14" s="10"/>
      <c r="E14" s="16"/>
      <c r="F14" s="26" t="s">
        <v>113</v>
      </c>
      <c r="G14" s="26" t="s">
        <v>113</v>
      </c>
      <c r="H14" s="26" t="s">
        <v>113</v>
      </c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26" t="s">
        <v>114</v>
      </c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44726</v>
      </c>
      <c r="B23" s="51"/>
      <c r="C23" s="51"/>
      <c r="D23" s="16"/>
      <c r="E23" s="51"/>
      <c r="F23" s="51"/>
      <c r="G23" s="16"/>
      <c r="H23" s="52" t="s">
        <v>194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N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37"/>
  <dimension ref="A1:AH28"/>
  <sheetViews>
    <sheetView workbookViewId="0">
      <selection activeCell="AH9" sqref="AH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10.54296875" bestFit="1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5" width="7.81640625" customWidth="1"/>
    <col min="26" max="27" width="10.179687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15</v>
      </c>
      <c r="B1" s="50">
        <f>A1/260</f>
        <v>5.7692307692307696E-2</v>
      </c>
      <c r="C1" s="50">
        <f>1-B1</f>
        <v>0.94230769230769229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64</v>
      </c>
      <c r="E3" s="4"/>
      <c r="F3" s="4"/>
      <c r="G3" s="4"/>
      <c r="H3" s="4"/>
      <c r="I3" s="4"/>
      <c r="J3" s="4"/>
      <c r="N3" t="s">
        <v>2</v>
      </c>
      <c r="O3" s="4"/>
      <c r="P3" s="23">
        <v>44090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26" t="s">
        <v>112</v>
      </c>
      <c r="V8" s="9"/>
      <c r="W8" s="10"/>
      <c r="X8" s="10"/>
      <c r="Y8" s="26" t="s">
        <v>116</v>
      </c>
      <c r="Z8" s="9"/>
      <c r="AA8" s="9"/>
      <c r="AB8" s="9"/>
      <c r="AC8" s="9"/>
      <c r="AD8" s="10"/>
      <c r="AE8" s="10"/>
      <c r="AF8" s="9"/>
      <c r="AH8">
        <f>COUNTA(B8:AF8)</f>
        <v>2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26" t="s">
        <v>112</v>
      </c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26" t="s">
        <v>112</v>
      </c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26" t="s">
        <v>112</v>
      </c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26" t="s">
        <v>112</v>
      </c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26" t="s">
        <v>114</v>
      </c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3">
      <c r="A12" s="19" t="s">
        <v>7</v>
      </c>
      <c r="B12" s="16"/>
      <c r="C12" s="38" t="s">
        <v>137</v>
      </c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26" t="s">
        <v>182</v>
      </c>
      <c r="R12" s="9"/>
      <c r="S12" s="9"/>
      <c r="T12" s="9"/>
      <c r="U12" s="9"/>
      <c r="V12" s="10"/>
      <c r="W12" s="10"/>
      <c r="X12" s="9"/>
      <c r="Y12" s="9"/>
      <c r="Z12" s="26" t="s">
        <v>186</v>
      </c>
      <c r="AA12" s="26" t="s">
        <v>187</v>
      </c>
      <c r="AB12" s="9"/>
      <c r="AC12" s="10"/>
      <c r="AD12" s="10"/>
      <c r="AE12" s="9"/>
      <c r="AF12" s="9"/>
      <c r="AH12">
        <f t="shared" si="0"/>
        <v>4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26" t="s">
        <v>114</v>
      </c>
      <c r="P13" s="26" t="s">
        <v>116</v>
      </c>
      <c r="Q13" s="26" t="s">
        <v>116</v>
      </c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3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26" t="s">
        <v>140</v>
      </c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44581</v>
      </c>
      <c r="B23" s="51"/>
      <c r="C23" s="51"/>
      <c r="D23" s="16"/>
      <c r="E23" s="51"/>
      <c r="F23" s="51"/>
      <c r="G23" s="16"/>
      <c r="H23" s="5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44600</v>
      </c>
      <c r="B24" s="51"/>
      <c r="C24" s="51"/>
      <c r="D24" s="16"/>
      <c r="E24" s="51"/>
      <c r="F24" s="51"/>
      <c r="G24" s="16"/>
      <c r="H24" s="52" t="s">
        <v>129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>
        <v>44620</v>
      </c>
      <c r="B25" s="51"/>
      <c r="C25" s="51"/>
      <c r="D25" s="16"/>
      <c r="E25" s="51"/>
      <c r="F25" s="51"/>
      <c r="G25" s="16"/>
      <c r="H25" s="52" t="s">
        <v>120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>
        <v>44635</v>
      </c>
      <c r="B26" s="51"/>
      <c r="C26" s="51"/>
      <c r="D26" s="16"/>
      <c r="E26" s="51"/>
      <c r="F26" s="51"/>
      <c r="G26" s="16"/>
      <c r="H26" s="52" t="s">
        <v>129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>
        <v>44650</v>
      </c>
      <c r="B27" s="51"/>
      <c r="C27" s="51"/>
      <c r="D27" s="16"/>
      <c r="E27" s="51"/>
      <c r="F27" s="51"/>
      <c r="G27" s="16"/>
      <c r="H27" s="52" t="s">
        <v>129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8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13</v>
      </c>
      <c r="B1" s="50">
        <f>A1/260</f>
        <v>0.05</v>
      </c>
      <c r="C1" s="50">
        <f>1-B1</f>
        <v>0.95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65</v>
      </c>
      <c r="E3" s="4"/>
      <c r="F3" s="4"/>
      <c r="G3" s="4"/>
      <c r="H3" s="4"/>
      <c r="I3" s="4"/>
      <c r="J3" s="4"/>
      <c r="N3" t="s">
        <v>2</v>
      </c>
      <c r="O3" s="4"/>
      <c r="P3" s="23">
        <v>33763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26" t="s">
        <v>113</v>
      </c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26" t="s">
        <v>113</v>
      </c>
      <c r="Z8" s="9"/>
      <c r="AA8" s="9"/>
      <c r="AB8" s="9"/>
      <c r="AC8" s="9"/>
      <c r="AD8" s="10"/>
      <c r="AE8" s="10"/>
      <c r="AF8" s="9"/>
      <c r="AH8">
        <f>COUNTA(B8:AF8)</f>
        <v>2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26" t="s">
        <v>113</v>
      </c>
      <c r="P10" s="26" t="s">
        <v>113</v>
      </c>
      <c r="Q10" s="26" t="s">
        <v>113</v>
      </c>
      <c r="R10" s="26" t="s">
        <v>113</v>
      </c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4</v>
      </c>
    </row>
    <row r="11" spans="1:34" ht="15.5" x14ac:dyDescent="0.25">
      <c r="A11" s="19" t="s">
        <v>6</v>
      </c>
      <c r="B11" s="16"/>
      <c r="C11" s="10"/>
      <c r="D11" s="10"/>
      <c r="E11" s="27" t="s">
        <v>113</v>
      </c>
      <c r="F11" s="26" t="s">
        <v>113</v>
      </c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26" t="s">
        <v>113</v>
      </c>
      <c r="R12" s="26" t="s">
        <v>113</v>
      </c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2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3">
      <c r="A17" s="19" t="s">
        <v>12</v>
      </c>
      <c r="B17" s="10"/>
      <c r="C17" s="10"/>
      <c r="D17" s="16"/>
      <c r="E17" s="36" t="s">
        <v>113</v>
      </c>
      <c r="F17" s="36" t="s">
        <v>113</v>
      </c>
      <c r="G17" s="36" t="s">
        <v>113</v>
      </c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3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5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9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99</v>
      </c>
      <c r="B1" s="50">
        <f>A1/260</f>
        <v>0.38076923076923075</v>
      </c>
      <c r="C1" s="50">
        <f>1-B1</f>
        <v>0.61923076923076925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66</v>
      </c>
      <c r="E3" s="4"/>
      <c r="F3" s="4"/>
      <c r="G3" s="4"/>
      <c r="H3" s="4"/>
      <c r="I3" s="4"/>
      <c r="J3" s="4"/>
      <c r="N3" t="s">
        <v>2</v>
      </c>
      <c r="O3" s="4"/>
      <c r="P3" s="23" t="s">
        <v>67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26" t="s">
        <v>114</v>
      </c>
      <c r="I8" s="10"/>
      <c r="J8" s="10"/>
      <c r="K8" s="9"/>
      <c r="L8" s="9"/>
      <c r="M8" s="9"/>
      <c r="N8" s="9"/>
      <c r="O8" s="9"/>
      <c r="P8" s="10"/>
      <c r="Q8" s="10"/>
      <c r="R8" s="26" t="s">
        <v>114</v>
      </c>
      <c r="S8" s="9"/>
      <c r="T8" s="9"/>
      <c r="U8" s="26" t="s">
        <v>114</v>
      </c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3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26" t="s">
        <v>112</v>
      </c>
      <c r="S9" s="9"/>
      <c r="T9" s="10"/>
      <c r="U9" s="10"/>
      <c r="V9" s="26" t="s">
        <v>146</v>
      </c>
      <c r="W9" s="26" t="s">
        <v>140</v>
      </c>
      <c r="X9" s="26" t="s">
        <v>140</v>
      </c>
      <c r="Y9" s="26" t="s">
        <v>147</v>
      </c>
      <c r="Z9" s="9"/>
      <c r="AA9" s="10"/>
      <c r="AB9" s="10"/>
      <c r="AC9" s="26" t="s">
        <v>116</v>
      </c>
      <c r="AD9" s="22"/>
      <c r="AE9" s="22"/>
      <c r="AF9" s="22"/>
      <c r="AH9">
        <f t="shared" ref="AH9:AH19" si="0">COUNTA(B9:AF9)</f>
        <v>6</v>
      </c>
    </row>
    <row r="10" spans="1:34" ht="15.5" x14ac:dyDescent="0.25">
      <c r="A10" s="19" t="s">
        <v>5</v>
      </c>
      <c r="B10" s="27" t="s">
        <v>116</v>
      </c>
      <c r="C10" s="27" t="s">
        <v>116</v>
      </c>
      <c r="D10" s="27" t="s">
        <v>116</v>
      </c>
      <c r="E10" s="16"/>
      <c r="F10" s="10"/>
      <c r="G10" s="10"/>
      <c r="H10" s="26" t="s">
        <v>140</v>
      </c>
      <c r="I10" s="26" t="s">
        <v>140</v>
      </c>
      <c r="J10" s="26" t="s">
        <v>140</v>
      </c>
      <c r="K10" s="26" t="s">
        <v>140</v>
      </c>
      <c r="L10" s="9"/>
      <c r="M10" s="10"/>
      <c r="N10" s="10"/>
      <c r="O10" s="26" t="s">
        <v>140</v>
      </c>
      <c r="P10" s="26" t="s">
        <v>140</v>
      </c>
      <c r="Q10" s="26" t="s">
        <v>140</v>
      </c>
      <c r="R10" s="26" t="s">
        <v>140</v>
      </c>
      <c r="S10" s="9"/>
      <c r="T10" s="10"/>
      <c r="U10" s="10"/>
      <c r="V10" s="26" t="s">
        <v>140</v>
      </c>
      <c r="W10" s="26" t="s">
        <v>140</v>
      </c>
      <c r="X10" s="26" t="s">
        <v>140</v>
      </c>
      <c r="Y10" s="26" t="s">
        <v>140</v>
      </c>
      <c r="Z10" s="9"/>
      <c r="AA10" s="10"/>
      <c r="AB10" s="10"/>
      <c r="AC10" s="9" t="s">
        <v>118</v>
      </c>
      <c r="AD10" s="9"/>
      <c r="AE10" s="9"/>
      <c r="AF10" s="9"/>
      <c r="AH10">
        <f t="shared" si="0"/>
        <v>16</v>
      </c>
    </row>
    <row r="11" spans="1:34" ht="15.5" x14ac:dyDescent="0.25">
      <c r="A11" s="19" t="s">
        <v>6</v>
      </c>
      <c r="B11" s="16"/>
      <c r="C11" s="10"/>
      <c r="D11" s="10"/>
      <c r="E11" s="28" t="s">
        <v>140</v>
      </c>
      <c r="F11" s="28" t="s">
        <v>140</v>
      </c>
      <c r="G11" s="28" t="s">
        <v>140</v>
      </c>
      <c r="H11" s="28" t="s">
        <v>140</v>
      </c>
      <c r="I11" s="9"/>
      <c r="J11" s="10"/>
      <c r="K11" s="10"/>
      <c r="L11" s="26" t="s">
        <v>140</v>
      </c>
      <c r="M11" s="26" t="s">
        <v>140</v>
      </c>
      <c r="N11" s="26" t="s">
        <v>140</v>
      </c>
      <c r="O11" s="26" t="s">
        <v>140</v>
      </c>
      <c r="P11" s="9"/>
      <c r="Q11" s="10"/>
      <c r="R11" s="10"/>
      <c r="S11" s="26" t="s">
        <v>140</v>
      </c>
      <c r="T11" s="26" t="s">
        <v>140</v>
      </c>
      <c r="U11" s="26" t="s">
        <v>140</v>
      </c>
      <c r="V11" s="26" t="s">
        <v>140</v>
      </c>
      <c r="W11" s="9"/>
      <c r="X11" s="10"/>
      <c r="Y11" s="10"/>
      <c r="Z11" s="26" t="s">
        <v>119</v>
      </c>
      <c r="AA11" s="26" t="s">
        <v>140</v>
      </c>
      <c r="AB11" s="26" t="s">
        <v>140</v>
      </c>
      <c r="AC11" s="26" t="s">
        <v>140</v>
      </c>
      <c r="AD11" s="9"/>
      <c r="AE11" s="10"/>
      <c r="AF11" s="22"/>
      <c r="AH11">
        <f t="shared" si="0"/>
        <v>16</v>
      </c>
    </row>
    <row r="12" spans="1:34" ht="15.5" x14ac:dyDescent="0.3">
      <c r="A12" s="19" t="s">
        <v>7</v>
      </c>
      <c r="B12" s="16"/>
      <c r="C12" s="36" t="s">
        <v>119</v>
      </c>
      <c r="D12" s="36" t="s">
        <v>140</v>
      </c>
      <c r="E12" s="36" t="s">
        <v>140</v>
      </c>
      <c r="F12" s="36" t="s">
        <v>140</v>
      </c>
      <c r="G12" s="9"/>
      <c r="H12" s="10"/>
      <c r="I12" s="10"/>
      <c r="J12" s="9"/>
      <c r="K12" s="9"/>
      <c r="L12" s="9"/>
      <c r="M12" s="9"/>
      <c r="N12" s="9"/>
      <c r="O12" s="10"/>
      <c r="P12" s="10"/>
      <c r="Q12" s="26" t="s">
        <v>140</v>
      </c>
      <c r="R12" s="9"/>
      <c r="S12" s="9"/>
      <c r="T12" s="9"/>
      <c r="U12" s="9"/>
      <c r="V12" s="10"/>
      <c r="W12" s="10"/>
      <c r="X12" s="26" t="s">
        <v>140</v>
      </c>
      <c r="Y12" s="26" t="s">
        <v>114</v>
      </c>
      <c r="Z12" s="26" t="s">
        <v>116</v>
      </c>
      <c r="AA12" s="26" t="s">
        <v>116</v>
      </c>
      <c r="AB12" s="9"/>
      <c r="AC12" s="10"/>
      <c r="AD12" s="10"/>
      <c r="AE12" s="9"/>
      <c r="AF12" s="9"/>
      <c r="AH12">
        <f t="shared" si="0"/>
        <v>9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26" t="s">
        <v>114</v>
      </c>
      <c r="H13" s="9"/>
      <c r="I13" s="9"/>
      <c r="J13" s="9"/>
      <c r="K13" s="9"/>
      <c r="L13" s="10"/>
      <c r="M13" s="10"/>
      <c r="N13" s="26" t="s">
        <v>178</v>
      </c>
      <c r="O13" s="26" t="s">
        <v>116</v>
      </c>
      <c r="P13" s="26" t="s">
        <v>116</v>
      </c>
      <c r="Q13" s="26" t="s">
        <v>116</v>
      </c>
      <c r="R13" s="9"/>
      <c r="S13" s="10"/>
      <c r="T13" s="10"/>
      <c r="U13" s="26" t="s">
        <v>116</v>
      </c>
      <c r="V13" s="26" t="s">
        <v>116</v>
      </c>
      <c r="W13" s="26" t="s">
        <v>116</v>
      </c>
      <c r="X13" s="26" t="s">
        <v>116</v>
      </c>
      <c r="Y13" s="9"/>
      <c r="Z13" s="10"/>
      <c r="AA13" s="10"/>
      <c r="AB13" s="9"/>
      <c r="AC13" s="9"/>
      <c r="AD13" s="9"/>
      <c r="AE13" s="9"/>
      <c r="AF13" s="22"/>
      <c r="AH13">
        <f t="shared" si="0"/>
        <v>9</v>
      </c>
    </row>
    <row r="14" spans="1:34" ht="15.5" x14ac:dyDescent="0.25">
      <c r="A14" s="19" t="s">
        <v>9</v>
      </c>
      <c r="B14" s="16"/>
      <c r="C14" s="10"/>
      <c r="D14" s="10"/>
      <c r="E14" s="16"/>
      <c r="F14" s="26" t="s">
        <v>116</v>
      </c>
      <c r="G14" s="26" t="s">
        <v>116</v>
      </c>
      <c r="H14" s="26" t="s">
        <v>116</v>
      </c>
      <c r="I14" s="9"/>
      <c r="J14" s="10"/>
      <c r="K14" s="10"/>
      <c r="L14" s="26" t="s">
        <v>116</v>
      </c>
      <c r="M14" s="26" t="s">
        <v>116</v>
      </c>
      <c r="N14" s="26" t="s">
        <v>116</v>
      </c>
      <c r="O14" s="26" t="s">
        <v>116</v>
      </c>
      <c r="P14" s="10"/>
      <c r="Q14" s="10"/>
      <c r="R14" s="10"/>
      <c r="S14" s="26" t="s">
        <v>116</v>
      </c>
      <c r="T14" s="26" t="s">
        <v>116</v>
      </c>
      <c r="U14" s="26" t="s">
        <v>116</v>
      </c>
      <c r="V14" s="26" t="s">
        <v>116</v>
      </c>
      <c r="W14" s="9"/>
      <c r="X14" s="10"/>
      <c r="Y14" s="10"/>
      <c r="Z14" s="26" t="s">
        <v>116</v>
      </c>
      <c r="AA14" s="26" t="s">
        <v>116</v>
      </c>
      <c r="AB14" s="26" t="s">
        <v>116</v>
      </c>
      <c r="AC14" s="26" t="s">
        <v>116</v>
      </c>
      <c r="AD14" s="9"/>
      <c r="AE14" s="10"/>
      <c r="AF14" s="10"/>
      <c r="AH14">
        <f t="shared" si="0"/>
        <v>15</v>
      </c>
    </row>
    <row r="15" spans="1:34" ht="15.5" x14ac:dyDescent="0.25">
      <c r="A15" s="19" t="s">
        <v>10</v>
      </c>
      <c r="B15" s="26" t="s">
        <v>116</v>
      </c>
      <c r="C15" s="26" t="s">
        <v>116</v>
      </c>
      <c r="D15" s="26" t="s">
        <v>116</v>
      </c>
      <c r="E15" s="26" t="s">
        <v>116</v>
      </c>
      <c r="F15" s="9"/>
      <c r="G15" s="10"/>
      <c r="H15" s="10"/>
      <c r="I15" s="26" t="s">
        <v>116</v>
      </c>
      <c r="J15" s="26" t="s">
        <v>116</v>
      </c>
      <c r="K15" s="26" t="s">
        <v>116</v>
      </c>
      <c r="L15" s="26" t="s">
        <v>116</v>
      </c>
      <c r="M15" s="9"/>
      <c r="N15" s="10"/>
      <c r="O15" s="10"/>
      <c r="P15" s="26" t="s">
        <v>116</v>
      </c>
      <c r="Q15" s="26" t="s">
        <v>116</v>
      </c>
      <c r="R15" s="26" t="s">
        <v>116</v>
      </c>
      <c r="S15" s="26" t="s">
        <v>116</v>
      </c>
      <c r="T15" s="9"/>
      <c r="U15" s="10"/>
      <c r="V15" s="10"/>
      <c r="W15" s="26" t="s">
        <v>116</v>
      </c>
      <c r="X15" s="26" t="s">
        <v>116</v>
      </c>
      <c r="Y15" s="26" t="s">
        <v>116</v>
      </c>
      <c r="Z15" s="26" t="s">
        <v>116</v>
      </c>
      <c r="AA15" s="9"/>
      <c r="AB15" s="10"/>
      <c r="AC15" s="10"/>
      <c r="AD15" s="26" t="s">
        <v>116</v>
      </c>
      <c r="AE15" s="26" t="s">
        <v>116</v>
      </c>
      <c r="AF15" s="26" t="s">
        <v>116</v>
      </c>
      <c r="AH15">
        <f t="shared" si="0"/>
        <v>19</v>
      </c>
    </row>
    <row r="16" spans="1:34" ht="15.5" x14ac:dyDescent="0.25">
      <c r="A16" s="19" t="s">
        <v>11</v>
      </c>
      <c r="B16" s="26" t="s">
        <v>116</v>
      </c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26" t="s">
        <v>140</v>
      </c>
      <c r="Q18" s="9"/>
      <c r="R18" s="26" t="s">
        <v>198</v>
      </c>
      <c r="S18" s="9"/>
      <c r="T18" s="10"/>
      <c r="U18" s="10"/>
      <c r="V18" s="26" t="s">
        <v>116</v>
      </c>
      <c r="W18" s="26" t="s">
        <v>116</v>
      </c>
      <c r="X18" s="26" t="s">
        <v>116</v>
      </c>
      <c r="Y18" s="9"/>
      <c r="Z18" s="9"/>
      <c r="AA18" s="10"/>
      <c r="AB18" s="10"/>
      <c r="AC18" s="9"/>
      <c r="AD18" s="9"/>
      <c r="AE18" s="9"/>
      <c r="AF18" s="22"/>
      <c r="AH18">
        <f t="shared" si="0"/>
        <v>5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44609</v>
      </c>
      <c r="B23" s="51"/>
      <c r="C23" s="51"/>
      <c r="D23" s="16"/>
      <c r="E23" s="51"/>
      <c r="F23" s="51"/>
      <c r="G23" s="16"/>
      <c r="H23" s="52" t="s">
        <v>122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  <c r="V28" t="s">
        <v>118</v>
      </c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40"/>
  <dimension ref="A1:AH28"/>
  <sheetViews>
    <sheetView workbookViewId="0">
      <selection activeCell="C67" sqref="C67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11.8164062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36</v>
      </c>
      <c r="B1" s="50">
        <f>A1/260</f>
        <v>0.13846153846153847</v>
      </c>
      <c r="C1" s="50">
        <f>1-B1</f>
        <v>0.86153846153846159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68</v>
      </c>
      <c r="E3" s="4"/>
      <c r="F3" s="4"/>
      <c r="G3" s="4"/>
      <c r="H3" s="4"/>
      <c r="I3" s="4"/>
      <c r="J3" s="4"/>
      <c r="N3" t="s">
        <v>2</v>
      </c>
      <c r="O3" s="4"/>
      <c r="P3" s="23">
        <v>44319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116</v>
      </c>
      <c r="S8" s="26" t="s">
        <v>116</v>
      </c>
      <c r="T8" s="26" t="s">
        <v>116</v>
      </c>
      <c r="U8" s="26" t="s">
        <v>116</v>
      </c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4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26" t="s">
        <v>114</v>
      </c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26" t="s">
        <v>114</v>
      </c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29" t="s">
        <v>116</v>
      </c>
      <c r="C10" s="16"/>
      <c r="D10" s="16"/>
      <c r="E10" s="16"/>
      <c r="F10" s="10"/>
      <c r="G10" s="10"/>
      <c r="H10" s="26" t="s">
        <v>112</v>
      </c>
      <c r="I10" s="26" t="s">
        <v>113</v>
      </c>
      <c r="J10" s="26" t="s">
        <v>116</v>
      </c>
      <c r="K10" s="26" t="s">
        <v>121</v>
      </c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5</v>
      </c>
    </row>
    <row r="11" spans="1:34" ht="15.5" x14ac:dyDescent="0.25">
      <c r="A11" s="19" t="s">
        <v>6</v>
      </c>
      <c r="B11" s="16"/>
      <c r="C11" s="10"/>
      <c r="D11" s="10"/>
      <c r="E11" s="29" t="s">
        <v>114</v>
      </c>
      <c r="F11" s="26" t="s">
        <v>116</v>
      </c>
      <c r="G11" s="26" t="s">
        <v>116</v>
      </c>
      <c r="H11" s="26" t="s">
        <v>116</v>
      </c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4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26" t="s">
        <v>114</v>
      </c>
      <c r="K12" s="26" t="s">
        <v>116</v>
      </c>
      <c r="L12" s="9"/>
      <c r="M12" s="9"/>
      <c r="N12" s="9"/>
      <c r="O12" s="10"/>
      <c r="P12" s="10"/>
      <c r="Q12" s="9"/>
      <c r="R12" s="9"/>
      <c r="S12" s="26" t="s">
        <v>178</v>
      </c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26" t="s">
        <v>114</v>
      </c>
      <c r="T14" s="26" t="s">
        <v>116</v>
      </c>
      <c r="U14" s="26" t="s">
        <v>116</v>
      </c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16"/>
      <c r="C15" s="16"/>
      <c r="D15" s="29" t="s">
        <v>114</v>
      </c>
      <c r="E15" s="29" t="s">
        <v>116</v>
      </c>
      <c r="F15" s="9"/>
      <c r="G15" s="10"/>
      <c r="H15" s="10"/>
      <c r="I15" s="26" t="s">
        <v>113</v>
      </c>
      <c r="J15" s="26" t="s">
        <v>113</v>
      </c>
      <c r="K15" s="26" t="s">
        <v>113</v>
      </c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5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26" t="s">
        <v>114</v>
      </c>
      <c r="I16" s="9"/>
      <c r="J16" s="9"/>
      <c r="K16" s="10"/>
      <c r="L16" s="10"/>
      <c r="M16" s="9"/>
      <c r="N16" s="9"/>
      <c r="O16" s="9"/>
      <c r="P16" s="26" t="s">
        <v>178</v>
      </c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26" t="s">
        <v>114</v>
      </c>
      <c r="S17" s="9"/>
      <c r="T17" s="9"/>
      <c r="U17" s="9"/>
      <c r="V17" s="9"/>
      <c r="W17" s="10"/>
      <c r="X17" s="10"/>
      <c r="Y17" s="9"/>
      <c r="Z17" s="9"/>
      <c r="AA17" s="9"/>
      <c r="AB17" s="26" t="s">
        <v>167</v>
      </c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26" t="s">
        <v>114</v>
      </c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26" t="s">
        <v>114</v>
      </c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114</v>
      </c>
      <c r="N19" s="26" t="s">
        <v>116</v>
      </c>
      <c r="O19" s="26" t="s">
        <v>116</v>
      </c>
      <c r="P19" s="26" t="s">
        <v>116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4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44627</v>
      </c>
      <c r="B23" s="51"/>
      <c r="C23" s="51"/>
      <c r="D23" s="16"/>
      <c r="E23" s="51"/>
      <c r="F23" s="51"/>
      <c r="G23" s="16"/>
      <c r="H23" s="52" t="s">
        <v>129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44781</v>
      </c>
      <c r="B24" s="51"/>
      <c r="C24" s="51"/>
      <c r="D24" s="16"/>
      <c r="E24" s="51"/>
      <c r="F24" s="51"/>
      <c r="G24" s="16"/>
      <c r="H24" s="52" t="s">
        <v>195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ilha41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6</v>
      </c>
      <c r="B1" s="50">
        <f>A1/260</f>
        <v>2.3076923076923078E-2</v>
      </c>
      <c r="C1" s="50">
        <f>1-B1</f>
        <v>0.97692307692307689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69</v>
      </c>
      <c r="E3" s="4"/>
      <c r="F3" s="4"/>
      <c r="G3" s="4"/>
      <c r="H3" s="4"/>
      <c r="I3" s="4"/>
      <c r="J3" s="4"/>
      <c r="N3" t="s">
        <v>2</v>
      </c>
      <c r="O3" s="4"/>
      <c r="P3" s="23">
        <v>44641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29" t="s">
        <v>125</v>
      </c>
      <c r="F11" s="26" t="s">
        <v>125</v>
      </c>
      <c r="G11" s="9"/>
      <c r="H11" s="9"/>
      <c r="I11" s="9"/>
      <c r="J11" s="10"/>
      <c r="K11" s="10"/>
      <c r="L11" s="9"/>
      <c r="M11" s="9"/>
      <c r="N11" s="26" t="s">
        <v>112</v>
      </c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3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26" t="s">
        <v>113</v>
      </c>
      <c r="G14" s="26" t="s">
        <v>113</v>
      </c>
      <c r="H14" s="26" t="s">
        <v>113</v>
      </c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44664</v>
      </c>
      <c r="B23" s="51"/>
      <c r="C23" s="51"/>
      <c r="D23" s="16"/>
      <c r="E23" s="51"/>
      <c r="F23" s="51"/>
      <c r="G23" s="16"/>
      <c r="H23" s="52" t="s">
        <v>129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ilha42"/>
  <dimension ref="A1:AH28"/>
  <sheetViews>
    <sheetView workbookViewId="0">
      <selection activeCell="AH8" sqref="AH8:AH19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94</v>
      </c>
      <c r="B1" s="50">
        <f>A1/260</f>
        <v>0.36153846153846153</v>
      </c>
      <c r="C1" s="50">
        <f>1-B1</f>
        <v>0.63846153846153841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70</v>
      </c>
      <c r="E3" s="4"/>
      <c r="F3" s="4"/>
      <c r="G3" s="4"/>
      <c r="H3" s="4"/>
      <c r="I3" s="4"/>
      <c r="J3" s="4"/>
      <c r="N3" t="s">
        <v>2</v>
      </c>
      <c r="O3" s="4"/>
      <c r="P3" s="23">
        <v>44158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26" t="s">
        <v>125</v>
      </c>
      <c r="G8" s="26" t="s">
        <v>114</v>
      </c>
      <c r="H8" s="9"/>
      <c r="I8" s="10"/>
      <c r="J8" s="10"/>
      <c r="K8" s="9"/>
      <c r="L8" s="26" t="s">
        <v>125</v>
      </c>
      <c r="M8" s="26" t="s">
        <v>116</v>
      </c>
      <c r="N8" s="26" t="s">
        <v>125</v>
      </c>
      <c r="O8" s="9"/>
      <c r="P8" s="10"/>
      <c r="Q8" s="10"/>
      <c r="R8" s="26" t="s">
        <v>114</v>
      </c>
      <c r="S8" s="9"/>
      <c r="T8" s="9"/>
      <c r="U8" s="26" t="s">
        <v>112</v>
      </c>
      <c r="V8" s="9"/>
      <c r="W8" s="10"/>
      <c r="X8" s="10"/>
      <c r="Y8" s="9"/>
      <c r="Z8" s="26" t="s">
        <v>125</v>
      </c>
      <c r="AA8" s="26" t="s">
        <v>112</v>
      </c>
      <c r="AB8" s="26" t="s">
        <v>116</v>
      </c>
      <c r="AC8" s="9"/>
      <c r="AD8" s="10"/>
      <c r="AE8" s="10"/>
      <c r="AF8" s="26" t="s">
        <v>112</v>
      </c>
      <c r="AH8">
        <f>COUNTA(B8:AF8)</f>
        <v>11</v>
      </c>
    </row>
    <row r="9" spans="1:34" ht="15.5" x14ac:dyDescent="0.25">
      <c r="A9" s="19" t="s">
        <v>4</v>
      </c>
      <c r="B9" s="16"/>
      <c r="C9" s="29" t="s">
        <v>125</v>
      </c>
      <c r="D9" s="9"/>
      <c r="E9" s="9"/>
      <c r="F9" s="10"/>
      <c r="G9" s="10"/>
      <c r="H9" s="9"/>
      <c r="I9" s="26" t="s">
        <v>125</v>
      </c>
      <c r="J9" s="9"/>
      <c r="K9" s="26" t="s">
        <v>125</v>
      </c>
      <c r="L9" s="9"/>
      <c r="M9" s="10"/>
      <c r="N9" s="10"/>
      <c r="O9" s="26" t="s">
        <v>125</v>
      </c>
      <c r="P9" s="9"/>
      <c r="Q9" s="9"/>
      <c r="R9" s="9"/>
      <c r="S9" s="9"/>
      <c r="T9" s="10"/>
      <c r="U9" s="10"/>
      <c r="V9" s="26" t="s">
        <v>116</v>
      </c>
      <c r="W9" s="26" t="s">
        <v>116</v>
      </c>
      <c r="X9" s="26" t="s">
        <v>116</v>
      </c>
      <c r="Y9" s="26" t="s">
        <v>121</v>
      </c>
      <c r="Z9" s="9"/>
      <c r="AA9" s="10"/>
      <c r="AB9" s="10"/>
      <c r="AC9" s="9" t="s">
        <v>116</v>
      </c>
      <c r="AD9" s="22"/>
      <c r="AE9" s="22"/>
      <c r="AF9" s="22"/>
      <c r="AH9">
        <f t="shared" ref="AH9:AH19" si="0">COUNTA(B9:AF9)</f>
        <v>9</v>
      </c>
    </row>
    <row r="10" spans="1:34" ht="15.5" x14ac:dyDescent="0.25">
      <c r="A10" s="19" t="s">
        <v>5</v>
      </c>
      <c r="B10" s="29" t="s">
        <v>116</v>
      </c>
      <c r="C10" s="29" t="s">
        <v>116</v>
      </c>
      <c r="D10" s="29" t="s">
        <v>116</v>
      </c>
      <c r="E10" s="16"/>
      <c r="F10" s="10"/>
      <c r="G10" s="10"/>
      <c r="H10" s="26" t="s">
        <v>140</v>
      </c>
      <c r="I10" s="26" t="s">
        <v>140</v>
      </c>
      <c r="J10" s="26" t="s">
        <v>140</v>
      </c>
      <c r="K10" s="26" t="s">
        <v>148</v>
      </c>
      <c r="L10" s="9"/>
      <c r="M10" s="10"/>
      <c r="N10" s="10"/>
      <c r="O10" s="26" t="s">
        <v>140</v>
      </c>
      <c r="P10" s="26" t="s">
        <v>119</v>
      </c>
      <c r="Q10" s="26" t="s">
        <v>140</v>
      </c>
      <c r="R10" s="26" t="s">
        <v>147</v>
      </c>
      <c r="S10" s="9"/>
      <c r="T10" s="10"/>
      <c r="U10" s="10"/>
      <c r="V10" s="26" t="s">
        <v>140</v>
      </c>
      <c r="W10" s="26" t="s">
        <v>140</v>
      </c>
      <c r="X10" s="26" t="s">
        <v>140</v>
      </c>
      <c r="Y10" s="26" t="s">
        <v>147</v>
      </c>
      <c r="Z10" s="9"/>
      <c r="AA10" s="10"/>
      <c r="AB10" s="10"/>
      <c r="AC10" s="26" t="s">
        <v>140</v>
      </c>
      <c r="AD10" s="26" t="s">
        <v>119</v>
      </c>
      <c r="AE10" s="26" t="s">
        <v>140</v>
      </c>
      <c r="AF10" s="26" t="s">
        <v>140</v>
      </c>
      <c r="AH10">
        <f t="shared" si="0"/>
        <v>19</v>
      </c>
    </row>
    <row r="11" spans="1:34" ht="15.5" x14ac:dyDescent="0.25">
      <c r="A11" s="19" t="s">
        <v>6</v>
      </c>
      <c r="B11" s="16"/>
      <c r="C11" s="10"/>
      <c r="D11" s="10"/>
      <c r="E11" s="29" t="s">
        <v>140</v>
      </c>
      <c r="F11" s="26" t="s">
        <v>140</v>
      </c>
      <c r="G11" s="26" t="s">
        <v>140</v>
      </c>
      <c r="H11" s="26" t="s">
        <v>140</v>
      </c>
      <c r="I11" s="9"/>
      <c r="J11" s="10"/>
      <c r="K11" s="10"/>
      <c r="L11" s="26" t="s">
        <v>140</v>
      </c>
      <c r="M11" s="26" t="s">
        <v>140</v>
      </c>
      <c r="N11" s="26" t="s">
        <v>140</v>
      </c>
      <c r="O11" s="26" t="s">
        <v>147</v>
      </c>
      <c r="P11" s="9"/>
      <c r="Q11" s="10"/>
      <c r="R11" s="10"/>
      <c r="S11" s="26" t="s">
        <v>140</v>
      </c>
      <c r="T11" s="26" t="s">
        <v>140</v>
      </c>
      <c r="U11" s="26" t="s">
        <v>140</v>
      </c>
      <c r="V11" s="26" t="s">
        <v>140</v>
      </c>
      <c r="W11" s="9"/>
      <c r="X11" s="10"/>
      <c r="Y11" s="10"/>
      <c r="Z11" s="26" t="s">
        <v>119</v>
      </c>
      <c r="AA11" s="26" t="s">
        <v>140</v>
      </c>
      <c r="AB11" s="26" t="s">
        <v>140</v>
      </c>
      <c r="AC11" s="26" t="s">
        <v>140</v>
      </c>
      <c r="AD11" s="9"/>
      <c r="AE11" s="10"/>
      <c r="AF11" s="22"/>
      <c r="AH11">
        <f t="shared" si="0"/>
        <v>16</v>
      </c>
    </row>
    <row r="12" spans="1:34" ht="15.5" x14ac:dyDescent="0.25">
      <c r="A12" s="19" t="s">
        <v>7</v>
      </c>
      <c r="B12" s="16"/>
      <c r="C12" s="16"/>
      <c r="D12" s="16"/>
      <c r="E12" s="33" t="s">
        <v>140</v>
      </c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26" t="s">
        <v>113</v>
      </c>
      <c r="Y12" s="9"/>
      <c r="Z12" s="9"/>
      <c r="AA12" s="9"/>
      <c r="AB12" s="9"/>
      <c r="AC12" s="10"/>
      <c r="AD12" s="10"/>
      <c r="AE12" s="9"/>
      <c r="AF12" s="9"/>
      <c r="AH12">
        <f t="shared" si="0"/>
        <v>2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26" t="s">
        <v>114</v>
      </c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26" t="s">
        <v>140</v>
      </c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26" t="s">
        <v>178</v>
      </c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 t="s">
        <v>116</v>
      </c>
      <c r="AC16" s="9"/>
      <c r="AD16" s="9"/>
      <c r="AE16" s="9"/>
      <c r="AF16" s="22"/>
      <c r="AH16">
        <f t="shared" si="0"/>
        <v>2</v>
      </c>
    </row>
    <row r="17" spans="1:34" ht="15.5" x14ac:dyDescent="0.3">
      <c r="A17" s="19" t="s">
        <v>12</v>
      </c>
      <c r="B17" s="10"/>
      <c r="C17" s="10"/>
      <c r="D17" s="36" t="s">
        <v>113</v>
      </c>
      <c r="E17" s="36" t="s">
        <v>113</v>
      </c>
      <c r="F17" s="36" t="s">
        <v>113</v>
      </c>
      <c r="G17" s="36" t="s">
        <v>113</v>
      </c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26" t="s">
        <v>140</v>
      </c>
      <c r="Z17" s="26" t="s">
        <v>140</v>
      </c>
      <c r="AA17" s="26" t="s">
        <v>140</v>
      </c>
      <c r="AB17" s="26" t="s">
        <v>140</v>
      </c>
      <c r="AC17" s="9"/>
      <c r="AD17" s="10"/>
      <c r="AE17" s="10"/>
      <c r="AF17" s="9"/>
      <c r="AH17">
        <f t="shared" si="0"/>
        <v>8</v>
      </c>
    </row>
    <row r="18" spans="1:34" ht="15.5" x14ac:dyDescent="0.25">
      <c r="A18" s="19" t="s">
        <v>13</v>
      </c>
      <c r="B18" s="26" t="s">
        <v>140</v>
      </c>
      <c r="C18" s="26" t="s">
        <v>140</v>
      </c>
      <c r="D18" s="26" t="s">
        <v>140</v>
      </c>
      <c r="E18" s="16"/>
      <c r="F18" s="10"/>
      <c r="G18" s="10"/>
      <c r="H18" s="26" t="s">
        <v>140</v>
      </c>
      <c r="I18" s="26" t="s">
        <v>140</v>
      </c>
      <c r="J18" s="26" t="s">
        <v>140</v>
      </c>
      <c r="K18" s="26" t="s">
        <v>140</v>
      </c>
      <c r="L18" s="9"/>
      <c r="M18" s="10"/>
      <c r="N18" s="10"/>
      <c r="O18" s="26" t="s">
        <v>140</v>
      </c>
      <c r="P18" s="26" t="s">
        <v>140</v>
      </c>
      <c r="Q18" s="26" t="s">
        <v>140</v>
      </c>
      <c r="R18" s="26" t="s">
        <v>140</v>
      </c>
      <c r="S18" s="9"/>
      <c r="T18" s="10"/>
      <c r="U18" s="10"/>
      <c r="V18" s="26" t="s">
        <v>140</v>
      </c>
      <c r="W18" s="26" t="s">
        <v>140</v>
      </c>
      <c r="X18" s="26" t="s">
        <v>140</v>
      </c>
      <c r="Y18" s="9"/>
      <c r="Z18" s="9"/>
      <c r="AA18" s="10"/>
      <c r="AB18" s="10"/>
      <c r="AC18" s="9"/>
      <c r="AD18" s="26" t="s">
        <v>140</v>
      </c>
      <c r="AE18" s="26" t="s">
        <v>140</v>
      </c>
      <c r="AF18" s="22"/>
      <c r="AH18">
        <f t="shared" si="0"/>
        <v>16</v>
      </c>
    </row>
    <row r="19" spans="1:34" ht="15.5" x14ac:dyDescent="0.25">
      <c r="A19" s="19" t="s">
        <v>14</v>
      </c>
      <c r="B19" s="26" t="s">
        <v>140</v>
      </c>
      <c r="C19" s="16"/>
      <c r="D19" s="10"/>
      <c r="E19" s="10"/>
      <c r="F19" s="26" t="s">
        <v>140</v>
      </c>
      <c r="G19" s="26" t="s">
        <v>140</v>
      </c>
      <c r="H19" s="26" t="s">
        <v>140</v>
      </c>
      <c r="I19" s="26" t="s">
        <v>140</v>
      </c>
      <c r="J19" s="9"/>
      <c r="K19" s="10"/>
      <c r="L19" s="10"/>
      <c r="M19" s="26" t="s">
        <v>140</v>
      </c>
      <c r="N19" s="26" t="s">
        <v>140</v>
      </c>
      <c r="O19" s="26" t="s">
        <v>140</v>
      </c>
      <c r="P19" s="26" t="s">
        <v>140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9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44831</v>
      </c>
      <c r="B23" s="51"/>
      <c r="C23" s="51"/>
      <c r="D23" s="16"/>
      <c r="E23" s="51"/>
      <c r="F23" s="51"/>
      <c r="G23" s="16"/>
      <c r="H23" s="52" t="s">
        <v>223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44837</v>
      </c>
      <c r="B24" s="51"/>
      <c r="C24" s="51"/>
      <c r="D24" s="16"/>
      <c r="E24" s="51"/>
      <c r="F24" s="51"/>
      <c r="G24" s="16"/>
      <c r="H24" s="62" t="s">
        <v>226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43"/>
  <dimension ref="A1:AH28"/>
  <sheetViews>
    <sheetView workbookViewId="0">
      <selection activeCell="AH8" sqref="AH8:AH19"/>
    </sheetView>
  </sheetViews>
  <sheetFormatPr defaultRowHeight="12.5" x14ac:dyDescent="0.25"/>
  <sheetData>
    <row r="1" spans="1:34" ht="18" x14ac:dyDescent="0.4">
      <c r="A1" s="1">
        <f>COUNTA(B8:AF19)</f>
        <v>19</v>
      </c>
      <c r="B1" s="50">
        <f>A1/260</f>
        <v>7.3076923076923081E-2</v>
      </c>
      <c r="C1" s="50">
        <f>1-B1</f>
        <v>0.92692307692307696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31" t="s">
        <v>200</v>
      </c>
      <c r="E3" s="4"/>
      <c r="F3" s="4"/>
      <c r="G3" s="4"/>
      <c r="H3" s="4"/>
      <c r="I3" s="4"/>
      <c r="J3" s="4"/>
      <c r="N3" t="s">
        <v>2</v>
      </c>
      <c r="O3" s="4"/>
      <c r="P3" s="23">
        <v>44690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 t="s">
        <v>118</v>
      </c>
      <c r="H8" s="9"/>
      <c r="I8" s="10"/>
      <c r="J8" s="10"/>
      <c r="K8" s="9"/>
      <c r="L8" s="9"/>
      <c r="M8" s="9"/>
      <c r="N8" s="9"/>
      <c r="O8" s="9"/>
      <c r="P8" s="10"/>
      <c r="Q8" s="10"/>
      <c r="R8" s="9" t="s">
        <v>118</v>
      </c>
      <c r="S8" s="9" t="s">
        <v>118</v>
      </c>
      <c r="T8" s="9"/>
      <c r="U8" s="9"/>
      <c r="V8" s="9"/>
      <c r="W8" s="10"/>
      <c r="X8" s="10"/>
      <c r="Y8" s="9"/>
      <c r="Z8" s="9"/>
      <c r="AA8" s="9" t="s">
        <v>118</v>
      </c>
      <c r="AB8" s="9" t="s">
        <v>118</v>
      </c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 t="s">
        <v>118</v>
      </c>
      <c r="I9" s="9"/>
      <c r="J9" s="9"/>
      <c r="K9" s="9"/>
      <c r="L9" s="9"/>
      <c r="M9" s="10"/>
      <c r="N9" s="10"/>
      <c r="O9" s="9" t="s">
        <v>118</v>
      </c>
      <c r="P9" s="9"/>
      <c r="Q9" s="9"/>
      <c r="R9" s="9"/>
      <c r="S9" s="9"/>
      <c r="T9" s="10"/>
      <c r="U9" s="10"/>
      <c r="V9" s="9" t="s">
        <v>118</v>
      </c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3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 t="s">
        <v>118</v>
      </c>
      <c r="P10" s="9"/>
      <c r="Q10" s="9"/>
      <c r="R10" s="9"/>
      <c r="S10" s="9"/>
      <c r="T10" s="10"/>
      <c r="U10" s="10"/>
      <c r="V10" s="9"/>
      <c r="W10" s="9"/>
      <c r="X10" s="9"/>
      <c r="Y10" s="9" t="s">
        <v>118</v>
      </c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26" t="s">
        <v>114</v>
      </c>
      <c r="T14" s="26" t="s">
        <v>116</v>
      </c>
      <c r="U14" s="26" t="s">
        <v>116</v>
      </c>
      <c r="V14" s="26" t="s">
        <v>116</v>
      </c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4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26" t="s">
        <v>179</v>
      </c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178</v>
      </c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26" t="s">
        <v>178</v>
      </c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26" t="s">
        <v>184</v>
      </c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26" t="s">
        <v>114</v>
      </c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32">
        <v>44704</v>
      </c>
      <c r="B23" s="51"/>
      <c r="C23" s="51"/>
      <c r="D23" s="16"/>
      <c r="E23" s="51"/>
      <c r="F23" s="51"/>
      <c r="G23" s="16"/>
      <c r="H23" s="62" t="s">
        <v>180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44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38</v>
      </c>
      <c r="B1" s="50">
        <f>A1/260</f>
        <v>0.14615384615384616</v>
      </c>
      <c r="C1" s="50">
        <f>1-B1</f>
        <v>0.85384615384615381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71</v>
      </c>
      <c r="E3" s="4"/>
      <c r="F3" s="4"/>
      <c r="G3" s="4"/>
      <c r="H3" s="4"/>
      <c r="I3" s="4"/>
      <c r="J3" s="4"/>
      <c r="N3" t="s">
        <v>2</v>
      </c>
      <c r="O3" s="4"/>
      <c r="P3" s="23">
        <v>42814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26" t="s">
        <v>114</v>
      </c>
      <c r="I8" s="10"/>
      <c r="J8" s="10"/>
      <c r="K8" s="26" t="s">
        <v>112</v>
      </c>
      <c r="L8" s="9"/>
      <c r="M8" s="9"/>
      <c r="N8" s="9"/>
      <c r="O8" s="9"/>
      <c r="P8" s="10"/>
      <c r="Q8" s="10"/>
      <c r="R8" s="26" t="s">
        <v>111</v>
      </c>
      <c r="S8" s="9"/>
      <c r="T8" s="9"/>
      <c r="U8" s="9"/>
      <c r="V8" s="9"/>
      <c r="W8" s="10"/>
      <c r="X8" s="10"/>
      <c r="Y8" s="9"/>
      <c r="Z8" s="9"/>
      <c r="AA8" s="9"/>
      <c r="AB8" s="26" t="s">
        <v>116</v>
      </c>
      <c r="AC8" s="9"/>
      <c r="AD8" s="10"/>
      <c r="AE8" s="10"/>
      <c r="AF8" s="26" t="s">
        <v>116</v>
      </c>
      <c r="AH8">
        <f>COUNTA(B8:AF8)</f>
        <v>5</v>
      </c>
    </row>
    <row r="9" spans="1:34" ht="15.5" x14ac:dyDescent="0.25">
      <c r="A9" s="19" t="s">
        <v>4</v>
      </c>
      <c r="B9" s="29" t="s">
        <v>116</v>
      </c>
      <c r="C9" s="29" t="s">
        <v>116</v>
      </c>
      <c r="D9" s="26" t="s">
        <v>121</v>
      </c>
      <c r="E9" s="9"/>
      <c r="F9" s="10"/>
      <c r="G9" s="10"/>
      <c r="H9" s="9"/>
      <c r="I9" s="26" t="s">
        <v>114</v>
      </c>
      <c r="J9" s="26" t="s">
        <v>116</v>
      </c>
      <c r="K9" s="9"/>
      <c r="L9" s="9"/>
      <c r="M9" s="10"/>
      <c r="N9" s="10"/>
      <c r="O9" s="26" t="s">
        <v>112</v>
      </c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6</v>
      </c>
    </row>
    <row r="10" spans="1:34" ht="15.5" x14ac:dyDescent="0.25">
      <c r="A10" s="19" t="s">
        <v>5</v>
      </c>
      <c r="B10" s="16"/>
      <c r="C10" s="29" t="s">
        <v>111</v>
      </c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26" t="s">
        <v>112</v>
      </c>
      <c r="Q10" s="9"/>
      <c r="R10" s="9"/>
      <c r="S10" s="9"/>
      <c r="T10" s="10"/>
      <c r="U10" s="10"/>
      <c r="V10" s="26" t="s">
        <v>149</v>
      </c>
      <c r="W10" s="9"/>
      <c r="X10" s="9"/>
      <c r="Y10" s="9"/>
      <c r="Z10" s="9"/>
      <c r="AA10" s="10"/>
      <c r="AB10" s="10"/>
      <c r="AC10" s="26" t="s">
        <v>113</v>
      </c>
      <c r="AD10" s="26" t="s">
        <v>113</v>
      </c>
      <c r="AE10" s="26" t="s">
        <v>113</v>
      </c>
      <c r="AF10" s="26" t="s">
        <v>113</v>
      </c>
      <c r="AH10">
        <f t="shared" si="0"/>
        <v>7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26" t="s">
        <v>113</v>
      </c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26" t="s">
        <v>167</v>
      </c>
      <c r="AB11" s="26" t="s">
        <v>114</v>
      </c>
      <c r="AC11" s="9"/>
      <c r="AD11" s="9"/>
      <c r="AE11" s="10"/>
      <c r="AF11" s="22"/>
      <c r="AH11">
        <f t="shared" si="0"/>
        <v>3</v>
      </c>
    </row>
    <row r="12" spans="1:34" ht="15.5" x14ac:dyDescent="0.25">
      <c r="A12" s="19" t="s">
        <v>7</v>
      </c>
      <c r="B12" s="16"/>
      <c r="C12" s="16"/>
      <c r="D12" s="16"/>
      <c r="E12" s="33" t="s">
        <v>176</v>
      </c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26" t="s">
        <v>113</v>
      </c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2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26" t="s">
        <v>179</v>
      </c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28" t="s">
        <v>178</v>
      </c>
      <c r="C15" s="28" t="s">
        <v>111</v>
      </c>
      <c r="D15" s="28" t="s">
        <v>121</v>
      </c>
      <c r="E15" s="28" t="s">
        <v>121</v>
      </c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26" t="s">
        <v>114</v>
      </c>
      <c r="S15" s="9"/>
      <c r="T15" s="9"/>
      <c r="U15" s="10"/>
      <c r="V15" s="10"/>
      <c r="W15" s="9"/>
      <c r="X15" s="9"/>
      <c r="Y15" s="26" t="s">
        <v>114</v>
      </c>
      <c r="Z15" s="9"/>
      <c r="AA15" s="9"/>
      <c r="AB15" s="10"/>
      <c r="AC15" s="10"/>
      <c r="AD15" s="9"/>
      <c r="AE15" s="9"/>
      <c r="AF15" s="9"/>
      <c r="AH15">
        <f t="shared" si="0"/>
        <v>6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26" t="s">
        <v>114</v>
      </c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26" t="s">
        <v>175</v>
      </c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26" t="s">
        <v>114</v>
      </c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26" t="s">
        <v>114</v>
      </c>
      <c r="Q18" s="26" t="s">
        <v>114</v>
      </c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114</v>
      </c>
      <c r="AE18" s="26" t="s">
        <v>114</v>
      </c>
      <c r="AF18" s="22"/>
      <c r="AH18">
        <f t="shared" si="0"/>
        <v>4</v>
      </c>
    </row>
    <row r="19" spans="1:34" ht="15.5" x14ac:dyDescent="0.25">
      <c r="A19" s="19" t="s">
        <v>14</v>
      </c>
      <c r="B19" s="26" t="s">
        <v>114</v>
      </c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44571</v>
      </c>
      <c r="B23" s="51"/>
      <c r="C23" s="51"/>
      <c r="D23" s="16"/>
      <c r="E23" s="51"/>
      <c r="F23" s="51"/>
      <c r="G23" s="16"/>
      <c r="H23" s="5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44606</v>
      </c>
      <c r="B24" s="51"/>
      <c r="C24" s="51"/>
      <c r="D24" s="16"/>
      <c r="E24" s="51"/>
      <c r="F24" s="51"/>
      <c r="G24" s="16"/>
      <c r="H24" s="52" t="s">
        <v>120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>
        <v>44635</v>
      </c>
      <c r="B25" s="51"/>
      <c r="C25" s="51"/>
      <c r="D25" s="16"/>
      <c r="E25" s="51"/>
      <c r="F25" s="51"/>
      <c r="G25" s="16"/>
      <c r="H25" s="52" t="s">
        <v>129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ilha45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28</v>
      </c>
      <c r="B1" s="50">
        <f>A1/260</f>
        <v>0.1076923076923077</v>
      </c>
      <c r="C1" s="50">
        <f>1-B1</f>
        <v>0.89230769230769225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31" t="s">
        <v>159</v>
      </c>
      <c r="E3" s="4"/>
      <c r="F3" s="4"/>
      <c r="G3" s="4"/>
      <c r="H3" s="4"/>
      <c r="I3" s="4"/>
      <c r="J3" s="4"/>
      <c r="N3" t="s">
        <v>2</v>
      </c>
      <c r="O3" s="4"/>
      <c r="P3" s="23">
        <v>44676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 t="s">
        <v>118</v>
      </c>
      <c r="H8" s="9"/>
      <c r="I8" s="10"/>
      <c r="J8" s="10"/>
      <c r="K8" s="9"/>
      <c r="L8" s="9"/>
      <c r="M8" s="9"/>
      <c r="N8" s="9"/>
      <c r="O8" s="9"/>
      <c r="P8" s="10"/>
      <c r="Q8" s="10"/>
      <c r="R8" s="9" t="s">
        <v>118</v>
      </c>
      <c r="S8" s="9" t="s">
        <v>118</v>
      </c>
      <c r="T8" s="9"/>
      <c r="U8" s="9"/>
      <c r="V8" s="9"/>
      <c r="W8" s="10"/>
      <c r="X8" s="10"/>
      <c r="Y8" s="9"/>
      <c r="Z8" s="9"/>
      <c r="AA8" s="9" t="s">
        <v>118</v>
      </c>
      <c r="AB8" s="9" t="s">
        <v>118</v>
      </c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 t="s">
        <v>118</v>
      </c>
      <c r="I9" s="9"/>
      <c r="J9" s="9"/>
      <c r="K9" s="9"/>
      <c r="L9" s="9"/>
      <c r="M9" s="10"/>
      <c r="N9" s="10"/>
      <c r="O9" s="9" t="s">
        <v>118</v>
      </c>
      <c r="P9" s="9"/>
      <c r="Q9" s="9"/>
      <c r="R9" s="9"/>
      <c r="S9" s="9"/>
      <c r="T9" s="10"/>
      <c r="U9" s="10"/>
      <c r="V9" s="9" t="s">
        <v>118</v>
      </c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3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 t="s">
        <v>118</v>
      </c>
      <c r="P10" s="9"/>
      <c r="Q10" s="9"/>
      <c r="R10" s="9"/>
      <c r="S10" s="9"/>
      <c r="T10" s="10"/>
      <c r="U10" s="10"/>
      <c r="V10" s="9"/>
      <c r="W10" s="9"/>
      <c r="X10" s="9"/>
      <c r="Y10" s="9" t="s">
        <v>118</v>
      </c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26" t="s">
        <v>116</v>
      </c>
      <c r="Y12" s="26" t="s">
        <v>116</v>
      </c>
      <c r="Z12" s="26" t="s">
        <v>116</v>
      </c>
      <c r="AA12" s="26" t="s">
        <v>116</v>
      </c>
      <c r="AB12" s="9"/>
      <c r="AC12" s="10"/>
      <c r="AD12" s="10"/>
      <c r="AE12" s="9"/>
      <c r="AF12" s="9"/>
      <c r="AH12">
        <f t="shared" si="0"/>
        <v>4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26" t="s">
        <v>175</v>
      </c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26" t="s">
        <v>114</v>
      </c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26" t="s">
        <v>178</v>
      </c>
      <c r="R15" s="9"/>
      <c r="S15" s="26" t="s">
        <v>175</v>
      </c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26" t="s">
        <v>113</v>
      </c>
      <c r="AE15" s="9"/>
      <c r="AF15" s="9"/>
      <c r="AH15">
        <f t="shared" si="0"/>
        <v>3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26" t="s">
        <v>113</v>
      </c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26" t="s">
        <v>238</v>
      </c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26" t="s">
        <v>179</v>
      </c>
      <c r="J18" s="26" t="s">
        <v>149</v>
      </c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26" t="s">
        <v>114</v>
      </c>
      <c r="W18" s="26" t="s">
        <v>116</v>
      </c>
      <c r="X18" s="9"/>
      <c r="Y18" s="9"/>
      <c r="Z18" s="9"/>
      <c r="AA18" s="10"/>
      <c r="AB18" s="10"/>
      <c r="AC18" s="9"/>
      <c r="AD18" s="26" t="s">
        <v>116</v>
      </c>
      <c r="AE18" s="9"/>
      <c r="AF18" s="22"/>
      <c r="AH18">
        <f t="shared" si="0"/>
        <v>5</v>
      </c>
    </row>
    <row r="19" spans="1:34" ht="15.5" x14ac:dyDescent="0.25">
      <c r="A19" s="19" t="s">
        <v>14</v>
      </c>
      <c r="B19" s="29" t="s">
        <v>252</v>
      </c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114</v>
      </c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32">
        <v>44704</v>
      </c>
      <c r="B23" s="51"/>
      <c r="C23" s="51"/>
      <c r="D23" s="16"/>
      <c r="E23" s="51"/>
      <c r="F23" s="51"/>
      <c r="G23" s="16"/>
      <c r="H23" s="62" t="s">
        <v>180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46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15</v>
      </c>
      <c r="B1" s="50">
        <f>A1/260</f>
        <v>5.7692307692307696E-2</v>
      </c>
      <c r="C1" s="50">
        <f>1-B1</f>
        <v>0.94230769230769229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72</v>
      </c>
      <c r="E3" s="4"/>
      <c r="F3" s="4"/>
      <c r="G3" s="4"/>
      <c r="H3" s="4"/>
      <c r="I3" s="4"/>
      <c r="J3" s="4"/>
      <c r="N3" t="s">
        <v>2</v>
      </c>
      <c r="O3" s="4"/>
      <c r="P3" s="23">
        <v>43192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26" t="s">
        <v>114</v>
      </c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125</v>
      </c>
      <c r="S8" s="26" t="s">
        <v>125</v>
      </c>
      <c r="T8" s="9"/>
      <c r="U8" s="9"/>
      <c r="V8" s="9"/>
      <c r="W8" s="10"/>
      <c r="X8" s="10"/>
      <c r="Y8" s="9"/>
      <c r="Z8" s="9"/>
      <c r="AA8" s="26" t="s">
        <v>112</v>
      </c>
      <c r="AB8" s="26" t="s">
        <v>116</v>
      </c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26" t="s">
        <v>114</v>
      </c>
      <c r="I9" s="9"/>
      <c r="J9" s="9"/>
      <c r="K9" s="9"/>
      <c r="L9" s="9"/>
      <c r="M9" s="10"/>
      <c r="N9" s="10"/>
      <c r="O9" s="26" t="s">
        <v>114</v>
      </c>
      <c r="P9" s="9"/>
      <c r="Q9" s="9"/>
      <c r="R9" s="9"/>
      <c r="S9" s="9"/>
      <c r="T9" s="10"/>
      <c r="U9" s="10"/>
      <c r="V9" s="26" t="s">
        <v>125</v>
      </c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3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26" t="s">
        <v>114</v>
      </c>
      <c r="P10" s="9"/>
      <c r="Q10" s="9"/>
      <c r="R10" s="9"/>
      <c r="S10" s="9"/>
      <c r="T10" s="10"/>
      <c r="U10" s="10"/>
      <c r="V10" s="9"/>
      <c r="W10" s="9"/>
      <c r="X10" s="9"/>
      <c r="Y10" s="26" t="s">
        <v>113</v>
      </c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26" t="s">
        <v>113</v>
      </c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26" t="s">
        <v>178</v>
      </c>
      <c r="K15" s="26" t="s">
        <v>116</v>
      </c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3">
      <c r="A18" s="19" t="s">
        <v>13</v>
      </c>
      <c r="B18" s="36" t="s">
        <v>114</v>
      </c>
      <c r="C18" s="36" t="s">
        <v>113</v>
      </c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44587</v>
      </c>
      <c r="B23" s="51"/>
      <c r="C23" s="51"/>
      <c r="D23" s="16"/>
      <c r="E23" s="51"/>
      <c r="F23" s="51"/>
      <c r="G23" s="16"/>
      <c r="H23" s="5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ilha47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7</v>
      </c>
      <c r="B1" s="50">
        <f>A1/260</f>
        <v>2.6923076923076925E-2</v>
      </c>
      <c r="C1" s="50">
        <f>1-B1</f>
        <v>0.97307692307692306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73</v>
      </c>
      <c r="E3" s="4"/>
      <c r="F3" s="4"/>
      <c r="G3" s="4"/>
      <c r="H3" s="4"/>
      <c r="I3" s="4"/>
      <c r="J3" s="4"/>
      <c r="N3" t="s">
        <v>2</v>
      </c>
      <c r="O3" s="4"/>
      <c r="P3" s="23">
        <v>44537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26" t="s">
        <v>114</v>
      </c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26" t="s">
        <v>179</v>
      </c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26" t="s">
        <v>178</v>
      </c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26" t="s">
        <v>113</v>
      </c>
      <c r="AD14" s="9"/>
      <c r="AE14" s="10"/>
      <c r="AF14" s="10"/>
      <c r="AH14">
        <f t="shared" si="0"/>
        <v>2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26" t="s">
        <v>178</v>
      </c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26" t="s">
        <v>113</v>
      </c>
      <c r="O16" s="26" t="s">
        <v>216</v>
      </c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5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ilha48"/>
  <dimension ref="A1:AH28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8</v>
      </c>
      <c r="B1" s="50">
        <f>A1/260</f>
        <v>3.0769230769230771E-2</v>
      </c>
      <c r="C1" s="50">
        <f>1-B1</f>
        <v>0.96923076923076923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247</v>
      </c>
      <c r="E3" s="4"/>
      <c r="F3" s="4"/>
      <c r="G3" s="4"/>
      <c r="H3" s="4"/>
      <c r="I3" s="4"/>
      <c r="J3" s="4"/>
      <c r="N3" t="s">
        <v>2</v>
      </c>
      <c r="O3" s="4"/>
      <c r="P3" s="23">
        <v>44810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34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3">
      <c r="A12" s="19" t="s">
        <v>7</v>
      </c>
      <c r="B12" s="16"/>
      <c r="C12" s="35"/>
      <c r="D12" s="35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26" t="s">
        <v>114</v>
      </c>
      <c r="T18" s="10"/>
      <c r="U18" s="10"/>
      <c r="V18" s="26" t="s">
        <v>114</v>
      </c>
      <c r="W18" s="26" t="s">
        <v>116</v>
      </c>
      <c r="X18" s="26" t="s">
        <v>116</v>
      </c>
      <c r="Y18" s="9"/>
      <c r="Z18" s="9"/>
      <c r="AA18" s="10"/>
      <c r="AB18" s="10"/>
      <c r="AC18" s="26" t="s">
        <v>116</v>
      </c>
      <c r="AD18" s="26" t="s">
        <v>116</v>
      </c>
      <c r="AE18" s="26" t="s">
        <v>116</v>
      </c>
      <c r="AF18" s="22"/>
      <c r="AH18">
        <f t="shared" si="0"/>
        <v>7</v>
      </c>
    </row>
    <row r="19" spans="1:34" ht="15.5" x14ac:dyDescent="0.25">
      <c r="A19" s="19" t="s">
        <v>14</v>
      </c>
      <c r="B19" s="26" t="s">
        <v>116</v>
      </c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5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Planilha49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7</v>
      </c>
      <c r="B1" s="50">
        <f>A1/260</f>
        <v>2.6923076923076925E-2</v>
      </c>
      <c r="C1" s="50">
        <f>1-B1</f>
        <v>0.97307692307692306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231</v>
      </c>
      <c r="E3" s="4"/>
      <c r="F3" s="4"/>
      <c r="G3" s="4"/>
      <c r="H3" s="4"/>
      <c r="I3" s="4"/>
      <c r="J3" s="4"/>
      <c r="N3" t="s">
        <v>2</v>
      </c>
      <c r="O3" s="4"/>
      <c r="P3" s="23">
        <v>44858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 t="s">
        <v>118</v>
      </c>
      <c r="I9" s="9" t="s">
        <v>118</v>
      </c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34" t="s">
        <v>118</v>
      </c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3">
      <c r="A12" s="19" t="s">
        <v>7</v>
      </c>
      <c r="B12" s="16"/>
      <c r="C12" s="35" t="s">
        <v>118</v>
      </c>
      <c r="D12" s="35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 t="s">
        <v>118</v>
      </c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 t="s">
        <v>118</v>
      </c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 t="s">
        <v>118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5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Planilha50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8</v>
      </c>
      <c r="B1" s="50">
        <f>A1/260</f>
        <v>3.0769230769230771E-2</v>
      </c>
      <c r="C1" s="50">
        <f>1-B1</f>
        <v>0.96923076923076923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74</v>
      </c>
      <c r="E3" s="4"/>
      <c r="F3" s="4"/>
      <c r="G3" s="4"/>
      <c r="H3" s="4"/>
      <c r="I3" s="4"/>
      <c r="J3" s="4"/>
      <c r="N3" t="s">
        <v>2</v>
      </c>
      <c r="O3" s="4"/>
      <c r="P3" s="23" t="s">
        <v>75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26" t="s">
        <v>113</v>
      </c>
      <c r="I9" s="26" t="s">
        <v>113</v>
      </c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29" t="s">
        <v>113</v>
      </c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3">
      <c r="A12" s="19" t="s">
        <v>7</v>
      </c>
      <c r="B12" s="16"/>
      <c r="C12" s="36" t="s">
        <v>113</v>
      </c>
      <c r="D12" s="35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26" t="s">
        <v>113</v>
      </c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26" t="s">
        <v>113</v>
      </c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26" t="s">
        <v>113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26" t="s">
        <v>114</v>
      </c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5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Planilha51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30</v>
      </c>
      <c r="B1" s="50">
        <f>A1/260</f>
        <v>0.11538461538461539</v>
      </c>
      <c r="C1" s="50">
        <f>1-B1</f>
        <v>0.88461538461538458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76</v>
      </c>
      <c r="E3" s="4"/>
      <c r="F3" s="4"/>
      <c r="G3" s="4"/>
      <c r="H3" s="4"/>
      <c r="I3" s="4"/>
      <c r="J3" s="4"/>
      <c r="N3" t="s">
        <v>2</v>
      </c>
      <c r="O3" s="4"/>
      <c r="P3" s="23" t="s">
        <v>77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26" t="s">
        <v>112</v>
      </c>
      <c r="H8" s="9"/>
      <c r="I8" s="10"/>
      <c r="J8" s="10"/>
      <c r="K8" s="26" t="s">
        <v>114</v>
      </c>
      <c r="L8" s="26" t="s">
        <v>116</v>
      </c>
      <c r="M8" s="26" t="s">
        <v>116</v>
      </c>
      <c r="N8" s="9"/>
      <c r="O8" s="9"/>
      <c r="P8" s="10"/>
      <c r="Q8" s="10"/>
      <c r="R8" s="26" t="s">
        <v>125</v>
      </c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29" t="s">
        <v>125</v>
      </c>
      <c r="C9" s="16"/>
      <c r="D9" s="9"/>
      <c r="E9" s="9"/>
      <c r="F9" s="10"/>
      <c r="G9" s="10"/>
      <c r="H9" s="9"/>
      <c r="I9" s="26" t="s">
        <v>113</v>
      </c>
      <c r="J9" s="9"/>
      <c r="K9" s="9"/>
      <c r="L9" s="9"/>
      <c r="M9" s="10"/>
      <c r="N9" s="10"/>
      <c r="O9" s="9"/>
      <c r="P9" s="26" t="s">
        <v>125</v>
      </c>
      <c r="Q9" s="26" t="s">
        <v>116</v>
      </c>
      <c r="R9" s="26" t="s">
        <v>125</v>
      </c>
      <c r="S9" s="9" t="s">
        <v>118</v>
      </c>
      <c r="T9" s="10"/>
      <c r="U9" s="10"/>
      <c r="V9" s="26" t="s">
        <v>141</v>
      </c>
      <c r="W9" s="26" t="s">
        <v>141</v>
      </c>
      <c r="X9" s="26" t="s">
        <v>141</v>
      </c>
      <c r="Y9" s="9"/>
      <c r="Z9" s="9"/>
      <c r="AA9" s="10"/>
      <c r="AB9" s="10"/>
      <c r="AC9" s="26" t="s">
        <v>125</v>
      </c>
      <c r="AD9" s="22"/>
      <c r="AE9" s="22"/>
      <c r="AF9" s="22"/>
      <c r="AH9">
        <f t="shared" ref="AH9:AH19" si="0">COUNTA(B9:AF9)</f>
        <v>10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26" t="s">
        <v>112</v>
      </c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1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26" t="s">
        <v>113</v>
      </c>
      <c r="T11" s="26" t="s">
        <v>143</v>
      </c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26" t="s">
        <v>114</v>
      </c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26" t="s">
        <v>116</v>
      </c>
      <c r="P13" s="26" t="s">
        <v>116</v>
      </c>
      <c r="Q13" s="26" t="s">
        <v>116</v>
      </c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3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26" t="s">
        <v>113</v>
      </c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26" t="s">
        <v>113</v>
      </c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113</v>
      </c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26" t="s">
        <v>114</v>
      </c>
      <c r="L17" s="26" t="s">
        <v>116</v>
      </c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26" t="s">
        <v>114</v>
      </c>
      <c r="I18" s="9"/>
      <c r="J18" s="9"/>
      <c r="K18" s="9"/>
      <c r="L18" s="9"/>
      <c r="M18" s="10"/>
      <c r="N18" s="10"/>
      <c r="O18" s="26" t="s">
        <v>114</v>
      </c>
      <c r="P18" s="26" t="s">
        <v>114</v>
      </c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3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44726</v>
      </c>
      <c r="B23" s="51"/>
      <c r="C23" s="51"/>
      <c r="D23" s="16"/>
      <c r="E23" s="51"/>
      <c r="F23" s="51"/>
      <c r="G23" s="16"/>
      <c r="H23" s="52" t="s">
        <v>194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Planilha52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19</v>
      </c>
      <c r="B1" s="50">
        <f>A1/260</f>
        <v>7.3076923076923081E-2</v>
      </c>
      <c r="C1" s="50">
        <f>1-B1</f>
        <v>0.92692307692307696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78</v>
      </c>
      <c r="E3" s="4"/>
      <c r="F3" s="4"/>
      <c r="G3" s="4"/>
      <c r="H3" s="4"/>
      <c r="I3" s="4"/>
      <c r="J3" s="4"/>
      <c r="N3" t="s">
        <v>2</v>
      </c>
      <c r="O3" s="4"/>
      <c r="P3" s="23" t="s">
        <v>79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26" t="s">
        <v>112</v>
      </c>
      <c r="H8" s="9"/>
      <c r="I8" s="10"/>
      <c r="J8" s="10"/>
      <c r="K8" s="9"/>
      <c r="L8" s="9"/>
      <c r="M8" s="9"/>
      <c r="N8" s="26" t="s">
        <v>140</v>
      </c>
      <c r="O8" s="9"/>
      <c r="P8" s="10"/>
      <c r="Q8" s="10"/>
      <c r="R8" s="26" t="s">
        <v>114</v>
      </c>
      <c r="S8" s="9"/>
      <c r="T8" s="9"/>
      <c r="U8" s="9"/>
      <c r="V8" s="9"/>
      <c r="W8" s="10"/>
      <c r="X8" s="10"/>
      <c r="Y8" s="9"/>
      <c r="Z8" s="9"/>
      <c r="AA8" s="9"/>
      <c r="AB8" s="26" t="s">
        <v>114</v>
      </c>
      <c r="AC8" s="9"/>
      <c r="AD8" s="10"/>
      <c r="AE8" s="10"/>
      <c r="AF8" s="9"/>
      <c r="AH8">
        <f>COUNTA(B8:AF8)</f>
        <v>4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26" t="s">
        <v>112</v>
      </c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26" t="s">
        <v>119</v>
      </c>
      <c r="Q10" s="26" t="s">
        <v>116</v>
      </c>
      <c r="R10" s="26" t="s">
        <v>116</v>
      </c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26" t="s">
        <v>112</v>
      </c>
      <c r="AH10">
        <f t="shared" si="0"/>
        <v>4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26" t="s">
        <v>112</v>
      </c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26" t="s">
        <v>114</v>
      </c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26" t="s">
        <v>114</v>
      </c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26" t="s">
        <v>114</v>
      </c>
      <c r="AD16" s="26" t="s">
        <v>114</v>
      </c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26" t="s">
        <v>114</v>
      </c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251</v>
      </c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26" t="s">
        <v>116</v>
      </c>
      <c r="H19" s="26" t="s">
        <v>116</v>
      </c>
      <c r="I19" s="26" t="s">
        <v>116</v>
      </c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3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44567</v>
      </c>
      <c r="B23" s="51"/>
      <c r="C23" s="51"/>
      <c r="D23" s="16"/>
      <c r="E23" s="51"/>
      <c r="F23" s="51"/>
      <c r="G23" s="16"/>
      <c r="H23" s="5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44609</v>
      </c>
      <c r="B24" s="51"/>
      <c r="C24" s="51"/>
      <c r="D24" s="16"/>
      <c r="E24" s="51"/>
      <c r="F24" s="51"/>
      <c r="G24" s="16"/>
      <c r="H24" s="52" t="s">
        <v>150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>
        <v>44651</v>
      </c>
      <c r="B25" s="51"/>
      <c r="C25" s="51"/>
      <c r="D25" s="16"/>
      <c r="E25" s="51"/>
      <c r="F25" s="51"/>
      <c r="G25" s="16"/>
      <c r="H25" s="52" t="s">
        <v>150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>
        <v>44657</v>
      </c>
      <c r="B26" s="51"/>
      <c r="C26" s="51"/>
      <c r="D26" s="16"/>
      <c r="E26" s="51"/>
      <c r="F26" s="51"/>
      <c r="G26" s="16"/>
      <c r="H26" s="52" t="s">
        <v>150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>
        <v>44901</v>
      </c>
      <c r="B27" s="51"/>
      <c r="C27" s="51"/>
      <c r="D27" s="16"/>
      <c r="E27" s="51"/>
      <c r="F27" s="51"/>
      <c r="G27" s="16"/>
      <c r="H27" s="52" t="s">
        <v>201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Planilha53"/>
  <dimension ref="A1:AH45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38</v>
      </c>
      <c r="B1" s="50">
        <f>A1/260</f>
        <v>0.14615384615384616</v>
      </c>
      <c r="C1" s="50">
        <f>1-B1</f>
        <v>0.85384615384615381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80</v>
      </c>
      <c r="E3" s="4"/>
      <c r="F3" s="4"/>
      <c r="G3" s="4"/>
      <c r="H3" s="4"/>
      <c r="I3" s="4"/>
      <c r="J3" s="4"/>
      <c r="N3" t="s">
        <v>2</v>
      </c>
      <c r="O3" s="4"/>
      <c r="P3" s="23" t="s">
        <v>81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112</v>
      </c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1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26" t="s">
        <v>112</v>
      </c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26" t="s">
        <v>112</v>
      </c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29" t="s">
        <v>113</v>
      </c>
      <c r="E10" s="16"/>
      <c r="F10" s="10"/>
      <c r="G10" s="10"/>
      <c r="H10" s="26" t="s">
        <v>152</v>
      </c>
      <c r="I10" s="26" t="s">
        <v>116</v>
      </c>
      <c r="J10" s="26" t="s">
        <v>116</v>
      </c>
      <c r="K10" s="26" t="s">
        <v>121</v>
      </c>
      <c r="L10" s="9"/>
      <c r="M10" s="10"/>
      <c r="N10" s="10"/>
      <c r="O10" s="26" t="s">
        <v>112</v>
      </c>
      <c r="P10" s="9"/>
      <c r="Q10" s="26" t="s">
        <v>112</v>
      </c>
      <c r="R10" s="9"/>
      <c r="S10" s="9"/>
      <c r="T10" s="10"/>
      <c r="U10" s="10"/>
      <c r="V10" s="26" t="s">
        <v>112</v>
      </c>
      <c r="W10" s="9"/>
      <c r="X10" s="9"/>
      <c r="Y10" s="9"/>
      <c r="Z10" s="9"/>
      <c r="AA10" s="10"/>
      <c r="AB10" s="10"/>
      <c r="AC10" s="26" t="s">
        <v>112</v>
      </c>
      <c r="AD10" s="9"/>
      <c r="AE10" s="9"/>
      <c r="AF10" s="26" t="s">
        <v>112</v>
      </c>
      <c r="AH10">
        <f t="shared" si="0"/>
        <v>10</v>
      </c>
    </row>
    <row r="11" spans="1:34" ht="15.5" x14ac:dyDescent="0.25">
      <c r="A11" s="19" t="s">
        <v>6</v>
      </c>
      <c r="B11" s="16"/>
      <c r="C11" s="10"/>
      <c r="D11" s="10"/>
      <c r="E11" s="29" t="s">
        <v>114</v>
      </c>
      <c r="F11" s="26" t="s">
        <v>112</v>
      </c>
      <c r="G11" s="26" t="s">
        <v>112</v>
      </c>
      <c r="H11" s="26" t="s">
        <v>112</v>
      </c>
      <c r="I11" s="9"/>
      <c r="J11" s="10"/>
      <c r="K11" s="10"/>
      <c r="L11" s="26" t="s">
        <v>112</v>
      </c>
      <c r="M11" s="26" t="s">
        <v>112</v>
      </c>
      <c r="N11" s="26" t="s">
        <v>112</v>
      </c>
      <c r="O11" s="9"/>
      <c r="P11" s="9"/>
      <c r="Q11" s="10"/>
      <c r="R11" s="10"/>
      <c r="S11" s="26" t="s">
        <v>112</v>
      </c>
      <c r="T11" s="26" t="s">
        <v>113</v>
      </c>
      <c r="U11" s="26" t="s">
        <v>112</v>
      </c>
      <c r="V11" s="9" t="s">
        <v>118</v>
      </c>
      <c r="W11" s="9"/>
      <c r="X11" s="10"/>
      <c r="Y11" s="10"/>
      <c r="Z11" s="9"/>
      <c r="AA11" s="9"/>
      <c r="AB11" s="9"/>
      <c r="AC11" s="9" t="s">
        <v>118</v>
      </c>
      <c r="AD11" s="9"/>
      <c r="AE11" s="10"/>
      <c r="AF11" s="22"/>
      <c r="AH11">
        <f t="shared" si="0"/>
        <v>12</v>
      </c>
    </row>
    <row r="12" spans="1:34" ht="15.5" x14ac:dyDescent="0.3">
      <c r="A12" s="19" t="s">
        <v>7</v>
      </c>
      <c r="B12" s="16"/>
      <c r="C12" s="16"/>
      <c r="D12" s="36" t="s">
        <v>113</v>
      </c>
      <c r="E12" s="36" t="s">
        <v>113</v>
      </c>
      <c r="F12" s="26" t="s">
        <v>113</v>
      </c>
      <c r="G12" s="9"/>
      <c r="H12" s="10"/>
      <c r="I12" s="10"/>
      <c r="J12" s="26" t="s">
        <v>113</v>
      </c>
      <c r="K12" s="26" t="s">
        <v>113</v>
      </c>
      <c r="L12" s="26" t="s">
        <v>113</v>
      </c>
      <c r="M12" s="26" t="s">
        <v>113</v>
      </c>
      <c r="N12" s="9"/>
      <c r="O12" s="10"/>
      <c r="P12" s="10"/>
      <c r="Q12" s="9"/>
      <c r="R12" s="26" t="s">
        <v>178</v>
      </c>
      <c r="S12" s="26" t="s">
        <v>181</v>
      </c>
      <c r="T12" s="9"/>
      <c r="U12" s="9"/>
      <c r="V12" s="10"/>
      <c r="W12" s="10"/>
      <c r="X12" s="9"/>
      <c r="Y12" s="9"/>
      <c r="Z12" s="9"/>
      <c r="AA12" s="26" t="s">
        <v>113</v>
      </c>
      <c r="AB12" s="9"/>
      <c r="AC12" s="10"/>
      <c r="AD12" s="10"/>
      <c r="AE12" s="9"/>
      <c r="AF12" s="9"/>
      <c r="AH12">
        <f t="shared" si="0"/>
        <v>10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116</v>
      </c>
      <c r="AE18" s="26" t="s">
        <v>116</v>
      </c>
      <c r="AF18" s="22"/>
      <c r="AH18">
        <f t="shared" si="0"/>
        <v>2</v>
      </c>
    </row>
    <row r="19" spans="1:34" ht="15.5" x14ac:dyDescent="0.25">
      <c r="A19" s="19" t="s">
        <v>14</v>
      </c>
      <c r="B19" s="28" t="s">
        <v>116</v>
      </c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44578</v>
      </c>
      <c r="B23" s="51"/>
      <c r="C23" s="51"/>
      <c r="D23" s="16"/>
      <c r="E23" s="51"/>
      <c r="F23" s="51"/>
      <c r="G23" s="16"/>
      <c r="H23" s="52" t="s">
        <v>151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44600</v>
      </c>
      <c r="B24" s="51"/>
      <c r="C24" s="51"/>
      <c r="D24" s="16"/>
      <c r="E24" s="51"/>
      <c r="F24" s="51"/>
      <c r="G24" s="16"/>
      <c r="H24" s="52" t="s">
        <v>129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>
        <v>44615</v>
      </c>
      <c r="B25" s="51"/>
      <c r="C25" s="51"/>
      <c r="D25" s="16"/>
      <c r="E25" s="51"/>
      <c r="F25" s="51"/>
      <c r="G25" s="16"/>
      <c r="H25" s="52" t="s">
        <v>120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>
        <v>44634</v>
      </c>
      <c r="B26" s="51"/>
      <c r="C26" s="51"/>
      <c r="D26" s="16"/>
      <c r="E26" s="51"/>
      <c r="F26" s="51"/>
      <c r="G26" s="16"/>
      <c r="H26" s="52" t="s">
        <v>153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>
        <v>44636</v>
      </c>
      <c r="B27" s="51"/>
      <c r="C27" s="51"/>
      <c r="D27" s="16"/>
      <c r="E27" s="51"/>
      <c r="F27" s="51"/>
      <c r="G27" s="16"/>
      <c r="H27" s="52" t="s">
        <v>153</v>
      </c>
      <c r="I27" s="53"/>
      <c r="J27" s="53"/>
      <c r="K27" s="53"/>
      <c r="L27" s="53"/>
      <c r="M27" s="54"/>
    </row>
    <row r="28" spans="1:34" x14ac:dyDescent="0.25">
      <c r="A28" s="25">
        <v>44641</v>
      </c>
      <c r="B28" s="51"/>
      <c r="C28" s="51"/>
      <c r="D28" s="16"/>
      <c r="E28" s="51"/>
      <c r="F28" s="51"/>
      <c r="G28" s="16"/>
      <c r="H28" s="52" t="s">
        <v>153</v>
      </c>
      <c r="I28" s="53"/>
      <c r="J28" s="53"/>
      <c r="K28" s="53"/>
      <c r="L28" s="53"/>
      <c r="M28" s="54"/>
    </row>
    <row r="29" spans="1:34" x14ac:dyDescent="0.25">
      <c r="A29" s="25">
        <v>44648</v>
      </c>
      <c r="B29" s="51"/>
      <c r="C29" s="51"/>
      <c r="D29" s="16"/>
      <c r="E29" s="51"/>
      <c r="F29" s="51"/>
      <c r="G29" s="16"/>
      <c r="H29" s="52" t="s">
        <v>153</v>
      </c>
      <c r="I29" s="53"/>
      <c r="J29" s="53"/>
      <c r="K29" s="53"/>
      <c r="L29" s="53"/>
      <c r="M29" s="54"/>
    </row>
    <row r="30" spans="1:34" x14ac:dyDescent="0.25">
      <c r="A30" s="25">
        <v>44650</v>
      </c>
      <c r="B30" s="51"/>
      <c r="C30" s="51"/>
      <c r="D30" s="16"/>
      <c r="E30" s="51"/>
      <c r="F30" s="51"/>
      <c r="G30" s="16"/>
      <c r="H30" s="52" t="s">
        <v>153</v>
      </c>
      <c r="I30" s="53"/>
      <c r="J30" s="53"/>
      <c r="K30" s="53"/>
      <c r="L30" s="53"/>
      <c r="M30" s="54"/>
    </row>
    <row r="31" spans="1:34" x14ac:dyDescent="0.25">
      <c r="A31" s="25">
        <v>44656</v>
      </c>
      <c r="B31" s="51"/>
      <c r="C31" s="51"/>
      <c r="D31" s="16"/>
      <c r="E31" s="51"/>
      <c r="F31" s="51"/>
      <c r="G31" s="16"/>
      <c r="H31" s="52" t="s">
        <v>153</v>
      </c>
      <c r="I31" s="53"/>
      <c r="J31" s="53"/>
      <c r="K31" s="53"/>
      <c r="L31" s="53"/>
      <c r="M31" s="54"/>
    </row>
    <row r="32" spans="1:34" x14ac:dyDescent="0.25">
      <c r="A32" s="25">
        <v>44657</v>
      </c>
      <c r="B32" s="51"/>
      <c r="C32" s="51"/>
      <c r="D32" s="16"/>
      <c r="E32" s="51"/>
      <c r="F32" s="51"/>
      <c r="G32" s="16"/>
      <c r="H32" s="52" t="s">
        <v>153</v>
      </c>
      <c r="I32" s="53"/>
      <c r="J32" s="53"/>
      <c r="K32" s="53"/>
      <c r="L32" s="53"/>
      <c r="M32" s="54"/>
    </row>
    <row r="33" spans="1:13" x14ac:dyDescent="0.25">
      <c r="A33" s="25">
        <v>44658</v>
      </c>
      <c r="B33" s="51"/>
      <c r="C33" s="51"/>
      <c r="D33" s="16"/>
      <c r="E33" s="51"/>
      <c r="F33" s="51"/>
      <c r="G33" s="16"/>
      <c r="H33" s="52" t="s">
        <v>153</v>
      </c>
      <c r="I33" s="53"/>
      <c r="J33" s="53"/>
      <c r="K33" s="53"/>
      <c r="L33" s="53"/>
      <c r="M33" s="54"/>
    </row>
    <row r="34" spans="1:13" x14ac:dyDescent="0.25">
      <c r="A34" s="25">
        <v>44662</v>
      </c>
      <c r="B34" s="51"/>
      <c r="C34" s="51"/>
      <c r="D34" s="16"/>
      <c r="E34" s="51"/>
      <c r="F34" s="51"/>
      <c r="G34" s="16"/>
      <c r="H34" s="52" t="s">
        <v>153</v>
      </c>
      <c r="I34" s="53"/>
      <c r="J34" s="53"/>
      <c r="K34" s="53"/>
      <c r="L34" s="53"/>
      <c r="M34" s="54"/>
    </row>
    <row r="35" spans="1:13" x14ac:dyDescent="0.25">
      <c r="A35" s="25">
        <v>44663</v>
      </c>
      <c r="B35" s="51"/>
      <c r="C35" s="51"/>
      <c r="D35" s="16"/>
      <c r="E35" s="51"/>
      <c r="F35" s="51"/>
      <c r="G35" s="16"/>
      <c r="H35" s="52" t="s">
        <v>153</v>
      </c>
      <c r="I35" s="53"/>
      <c r="J35" s="53"/>
      <c r="K35" s="53"/>
      <c r="L35" s="53"/>
      <c r="M35" s="54"/>
    </row>
    <row r="36" spans="1:13" x14ac:dyDescent="0.25">
      <c r="A36" s="25">
        <v>44664</v>
      </c>
      <c r="B36" s="51"/>
      <c r="C36" s="51"/>
      <c r="D36" s="16"/>
      <c r="E36" s="51"/>
      <c r="F36" s="51"/>
      <c r="G36" s="16"/>
      <c r="H36" s="52" t="s">
        <v>153</v>
      </c>
      <c r="I36" s="53"/>
      <c r="J36" s="53"/>
      <c r="K36" s="53"/>
      <c r="L36" s="53"/>
      <c r="M36" s="54"/>
    </row>
    <row r="37" spans="1:13" x14ac:dyDescent="0.25">
      <c r="A37" s="25">
        <v>44669</v>
      </c>
      <c r="B37" s="51"/>
      <c r="C37" s="51"/>
      <c r="D37" s="16"/>
      <c r="E37" s="51"/>
      <c r="F37" s="51"/>
      <c r="G37" s="16"/>
      <c r="H37" s="52" t="s">
        <v>153</v>
      </c>
      <c r="I37" s="53"/>
      <c r="J37" s="53"/>
      <c r="K37" s="53"/>
      <c r="L37" s="53"/>
      <c r="M37" s="54"/>
    </row>
    <row r="38" spans="1:13" x14ac:dyDescent="0.25">
      <c r="A38" s="25">
        <v>44671</v>
      </c>
      <c r="B38" s="51"/>
      <c r="C38" s="51"/>
      <c r="D38" s="16"/>
      <c r="E38" s="51"/>
      <c r="F38" s="51"/>
      <c r="G38" s="16"/>
      <c r="H38" s="52" t="s">
        <v>153</v>
      </c>
      <c r="I38" s="53"/>
      <c r="J38" s="53"/>
      <c r="K38" s="53"/>
      <c r="L38" s="53"/>
      <c r="M38" s="54"/>
    </row>
    <row r="39" spans="1:13" x14ac:dyDescent="0.25">
      <c r="A39" s="17"/>
      <c r="B39" s="51"/>
      <c r="C39" s="51"/>
      <c r="D39" s="16"/>
      <c r="E39" s="51"/>
      <c r="F39" s="51"/>
      <c r="G39" s="16"/>
      <c r="H39" s="52"/>
      <c r="I39" s="53"/>
      <c r="J39" s="53"/>
      <c r="K39" s="53"/>
      <c r="L39" s="53"/>
      <c r="M39" s="54"/>
    </row>
    <row r="40" spans="1:13" x14ac:dyDescent="0.25">
      <c r="A40" s="17"/>
      <c r="B40" s="51"/>
      <c r="C40" s="51"/>
      <c r="D40" s="16"/>
      <c r="E40" s="51"/>
      <c r="F40" s="51"/>
      <c r="G40" s="16"/>
      <c r="H40" s="52"/>
      <c r="I40" s="53"/>
      <c r="J40" s="53"/>
      <c r="K40" s="53"/>
      <c r="L40" s="53"/>
      <c r="M40" s="54"/>
    </row>
    <row r="41" spans="1:13" x14ac:dyDescent="0.25">
      <c r="A41" s="17"/>
      <c r="B41" s="51"/>
      <c r="C41" s="51"/>
      <c r="D41" s="16"/>
      <c r="E41" s="51"/>
      <c r="F41" s="51"/>
      <c r="G41" s="16"/>
      <c r="H41" s="52"/>
      <c r="I41" s="53"/>
      <c r="J41" s="53"/>
      <c r="K41" s="53"/>
      <c r="L41" s="53"/>
      <c r="M41" s="54"/>
    </row>
    <row r="42" spans="1:13" x14ac:dyDescent="0.25">
      <c r="A42" s="17"/>
      <c r="B42" s="51"/>
      <c r="C42" s="51"/>
      <c r="D42" s="16"/>
      <c r="E42" s="51"/>
      <c r="F42" s="51"/>
      <c r="G42" s="16"/>
      <c r="H42" s="52"/>
      <c r="I42" s="53"/>
      <c r="J42" s="53"/>
      <c r="K42" s="53"/>
      <c r="L42" s="53"/>
      <c r="M42" s="54"/>
    </row>
    <row r="43" spans="1:13" x14ac:dyDescent="0.25">
      <c r="A43" s="17"/>
      <c r="B43" s="51"/>
      <c r="C43" s="51"/>
      <c r="D43" s="16"/>
      <c r="E43" s="51"/>
      <c r="F43" s="51"/>
      <c r="G43" s="16"/>
      <c r="H43" s="52"/>
      <c r="I43" s="53"/>
      <c r="J43" s="53"/>
      <c r="K43" s="53"/>
      <c r="L43" s="53"/>
      <c r="M43" s="54"/>
    </row>
    <row r="44" spans="1:13" x14ac:dyDescent="0.25">
      <c r="A44" s="17"/>
      <c r="B44" s="51"/>
      <c r="C44" s="51"/>
      <c r="D44" s="16"/>
      <c r="E44" s="51"/>
      <c r="F44" s="51"/>
      <c r="G44" s="16"/>
      <c r="H44" s="52"/>
      <c r="I44" s="53"/>
      <c r="J44" s="53"/>
      <c r="K44" s="53"/>
      <c r="L44" s="53"/>
      <c r="M44" s="54"/>
    </row>
    <row r="45" spans="1:13" x14ac:dyDescent="0.25">
      <c r="A45" s="17"/>
      <c r="B45" s="51"/>
      <c r="C45" s="51"/>
      <c r="D45" s="16"/>
      <c r="E45" s="51"/>
      <c r="F45" s="51"/>
      <c r="G45" s="16"/>
      <c r="H45" s="52"/>
      <c r="I45" s="53"/>
      <c r="J45" s="53"/>
      <c r="K45" s="53"/>
      <c r="L45" s="53"/>
      <c r="M45" s="54"/>
    </row>
  </sheetData>
  <mergeCells count="75">
    <mergeCell ref="B45:C45"/>
    <mergeCell ref="E45:F45"/>
    <mergeCell ref="H45:M45"/>
    <mergeCell ref="B43:C43"/>
    <mergeCell ref="E43:F43"/>
    <mergeCell ref="H43:M43"/>
    <mergeCell ref="B44:C44"/>
    <mergeCell ref="E44:F44"/>
    <mergeCell ref="H44:M44"/>
    <mergeCell ref="B41:C41"/>
    <mergeCell ref="E41:F41"/>
    <mergeCell ref="H41:M41"/>
    <mergeCell ref="B42:C42"/>
    <mergeCell ref="E42:F42"/>
    <mergeCell ref="H42:M42"/>
    <mergeCell ref="B39:C39"/>
    <mergeCell ref="E39:F39"/>
    <mergeCell ref="H39:M39"/>
    <mergeCell ref="B40:C40"/>
    <mergeCell ref="E40:F40"/>
    <mergeCell ref="H40:M40"/>
    <mergeCell ref="B37:C37"/>
    <mergeCell ref="E37:F37"/>
    <mergeCell ref="H37:M37"/>
    <mergeCell ref="B38:C38"/>
    <mergeCell ref="E38:F38"/>
    <mergeCell ref="H38:M38"/>
    <mergeCell ref="B35:C35"/>
    <mergeCell ref="E35:F35"/>
    <mergeCell ref="H35:M35"/>
    <mergeCell ref="B36:C36"/>
    <mergeCell ref="E36:F36"/>
    <mergeCell ref="H36:M36"/>
    <mergeCell ref="E26:F26"/>
    <mergeCell ref="H26:M26"/>
    <mergeCell ref="E28:F28"/>
    <mergeCell ref="H28:M28"/>
    <mergeCell ref="B28:C28"/>
    <mergeCell ref="B31:C31"/>
    <mergeCell ref="E31:F31"/>
    <mergeCell ref="H31:M31"/>
    <mergeCell ref="B30:C30"/>
    <mergeCell ref="E30:F30"/>
    <mergeCell ref="H30:M30"/>
    <mergeCell ref="B29:C29"/>
    <mergeCell ref="E29:F29"/>
    <mergeCell ref="H29:M29"/>
    <mergeCell ref="B23:C23"/>
    <mergeCell ref="E23:F23"/>
    <mergeCell ref="H23:M23"/>
    <mergeCell ref="B24:C24"/>
    <mergeCell ref="B27:C27"/>
    <mergeCell ref="E27:F27"/>
    <mergeCell ref="H27:M27"/>
    <mergeCell ref="E24:F24"/>
    <mergeCell ref="H24:M24"/>
    <mergeCell ref="B25:C25"/>
    <mergeCell ref="E25:F25"/>
    <mergeCell ref="H25:M25"/>
    <mergeCell ref="B26:C26"/>
    <mergeCell ref="B34:C34"/>
    <mergeCell ref="E34:F34"/>
    <mergeCell ref="H34:M34"/>
    <mergeCell ref="B32:C32"/>
    <mergeCell ref="E32:F32"/>
    <mergeCell ref="H32:M32"/>
    <mergeCell ref="B33:C33"/>
    <mergeCell ref="E33:F33"/>
    <mergeCell ref="H33:M33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Planilha54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12.45312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31</v>
      </c>
      <c r="B1" s="50">
        <f>A1/260</f>
        <v>0.11923076923076924</v>
      </c>
      <c r="C1" s="50">
        <f>1-B1</f>
        <v>0.88076923076923075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82</v>
      </c>
      <c r="E3" s="4"/>
      <c r="F3" s="4"/>
      <c r="G3" s="4"/>
      <c r="H3" s="4"/>
      <c r="I3" s="4"/>
      <c r="J3" s="4"/>
      <c r="N3" t="s">
        <v>2</v>
      </c>
      <c r="O3" s="4"/>
      <c r="P3" s="23">
        <v>44327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26" t="s">
        <v>125</v>
      </c>
      <c r="F8" s="9"/>
      <c r="G8" s="26" t="s">
        <v>125</v>
      </c>
      <c r="H8" s="9"/>
      <c r="I8" s="10"/>
      <c r="J8" s="10"/>
      <c r="K8" s="9"/>
      <c r="L8" s="26" t="s">
        <v>114</v>
      </c>
      <c r="M8" s="26" t="s">
        <v>116</v>
      </c>
      <c r="N8" s="26" t="s">
        <v>116</v>
      </c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29" t="s">
        <v>116</v>
      </c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26" t="s">
        <v>125</v>
      </c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27" t="s">
        <v>125</v>
      </c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26" t="s">
        <v>125</v>
      </c>
      <c r="Y10" s="26" t="s">
        <v>125</v>
      </c>
      <c r="Z10" s="9"/>
      <c r="AA10" s="10"/>
      <c r="AB10" s="10"/>
      <c r="AC10" s="9"/>
      <c r="AD10" s="9"/>
      <c r="AE10" s="26" t="s">
        <v>125</v>
      </c>
      <c r="AF10" s="9"/>
      <c r="AH10">
        <f t="shared" si="0"/>
        <v>4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26" t="s">
        <v>125</v>
      </c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26" t="s">
        <v>139</v>
      </c>
      <c r="G12" s="9"/>
      <c r="H12" s="10"/>
      <c r="I12" s="10"/>
      <c r="J12" s="9"/>
      <c r="K12" s="26" t="s">
        <v>114</v>
      </c>
      <c r="L12" s="9"/>
      <c r="M12" s="9"/>
      <c r="N12" s="9"/>
      <c r="O12" s="10"/>
      <c r="P12" s="10"/>
      <c r="Q12" s="9"/>
      <c r="R12" s="9"/>
      <c r="S12" s="26" t="s">
        <v>178</v>
      </c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26" t="s">
        <v>179</v>
      </c>
      <c r="H13" s="9"/>
      <c r="I13" s="9"/>
      <c r="J13" s="9"/>
      <c r="K13" s="9"/>
      <c r="L13" s="10"/>
      <c r="M13" s="10"/>
      <c r="N13" s="26" t="s">
        <v>113</v>
      </c>
      <c r="O13" s="26" t="s">
        <v>114</v>
      </c>
      <c r="P13" s="26" t="s">
        <v>113</v>
      </c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4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28" t="s">
        <v>179</v>
      </c>
      <c r="E15" s="28" t="s">
        <v>179</v>
      </c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179</v>
      </c>
      <c r="X15" s="9"/>
      <c r="Y15" s="9"/>
      <c r="Z15" s="9"/>
      <c r="AA15" s="9"/>
      <c r="AB15" s="10"/>
      <c r="AC15" s="10"/>
      <c r="AD15" s="9"/>
      <c r="AE15" s="9"/>
      <c r="AF15" s="26" t="s">
        <v>179</v>
      </c>
      <c r="AH15">
        <f t="shared" si="0"/>
        <v>4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26" t="s">
        <v>179</v>
      </c>
      <c r="P16" s="26" t="s">
        <v>175</v>
      </c>
      <c r="Q16" s="9"/>
      <c r="R16" s="10"/>
      <c r="S16" s="10"/>
      <c r="T16" s="9"/>
      <c r="U16" s="9"/>
      <c r="V16" s="26" t="s">
        <v>113</v>
      </c>
      <c r="W16" s="26" t="s">
        <v>113</v>
      </c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4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26" t="s">
        <v>114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26" t="s">
        <v>178</v>
      </c>
      <c r="L18" s="9"/>
      <c r="M18" s="10"/>
      <c r="N18" s="10"/>
      <c r="O18" s="9"/>
      <c r="P18" s="26" t="s">
        <v>175</v>
      </c>
      <c r="Q18" s="9"/>
      <c r="R18" s="9"/>
      <c r="S18" s="9"/>
      <c r="T18" s="10"/>
      <c r="U18" s="10"/>
      <c r="V18" s="9"/>
      <c r="W18" s="26" t="s">
        <v>178</v>
      </c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3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5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Planilha55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8.453125" customWidth="1"/>
    <col min="4" max="4" width="7.453125" customWidth="1"/>
    <col min="5" max="5" width="7.54296875" customWidth="1"/>
    <col min="6" max="6" width="4" customWidth="1"/>
    <col min="7" max="7" width="7.54296875" customWidth="1"/>
    <col min="8" max="8" width="8.54296875" customWidth="1"/>
    <col min="9" max="9" width="7.81640625" customWidth="1"/>
    <col min="10" max="10" width="8" customWidth="1"/>
    <col min="11" max="11" width="7.54296875" customWidth="1"/>
    <col min="12" max="12" width="8.1796875" customWidth="1"/>
    <col min="13" max="13" width="7.453125" customWidth="1"/>
    <col min="14" max="14" width="7.1796875" customWidth="1"/>
    <col min="15" max="15" width="11.54296875" customWidth="1"/>
    <col min="16" max="16" width="8" customWidth="1"/>
    <col min="17" max="17" width="7.81640625" customWidth="1"/>
    <col min="18" max="18" width="8.453125" customWidth="1"/>
    <col min="19" max="19" width="7.81640625" customWidth="1"/>
    <col min="20" max="20" width="8" customWidth="1"/>
    <col min="21" max="22" width="8.81640625" customWidth="1"/>
    <col min="23" max="23" width="8.1796875" customWidth="1"/>
    <col min="24" max="24" width="7.81640625" customWidth="1"/>
    <col min="25" max="25" width="8.54296875" customWidth="1"/>
    <col min="26" max="26" width="7.81640625" customWidth="1"/>
    <col min="27" max="28" width="7.1796875" customWidth="1"/>
    <col min="29" max="29" width="7.453125" customWidth="1"/>
    <col min="30" max="30" width="7.81640625" customWidth="1"/>
    <col min="31" max="31" width="8.1796875" customWidth="1"/>
    <col min="32" max="32" width="9.1796875" customWidth="1"/>
  </cols>
  <sheetData>
    <row r="1" spans="1:34" ht="18" x14ac:dyDescent="0.4">
      <c r="A1" s="1">
        <f>COUNTA(B8:AF19)</f>
        <v>0</v>
      </c>
      <c r="B1" s="50">
        <f>A1/260</f>
        <v>0</v>
      </c>
      <c r="C1" s="50">
        <f>1-B1</f>
        <v>1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220</v>
      </c>
      <c r="E3" s="4"/>
      <c r="F3" s="4"/>
      <c r="G3" s="4"/>
      <c r="H3" s="4"/>
      <c r="I3" s="4"/>
      <c r="J3" s="4"/>
      <c r="L3" t="s">
        <v>2</v>
      </c>
      <c r="O3" s="23">
        <v>44823</v>
      </c>
      <c r="P3" s="4"/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0" spans="1:34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4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  <c r="AF22" s="5"/>
    </row>
    <row r="23" spans="1:34" x14ac:dyDescent="0.25">
      <c r="A23" s="17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  <c r="AF23" s="5"/>
    </row>
    <row r="24" spans="1:34" x14ac:dyDescent="0.25">
      <c r="A24" s="17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  <c r="AF24" s="5"/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  <c r="AF25" s="5"/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  <c r="AF26" s="5"/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  <c r="AF27" s="5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  <c r="AF28" s="5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Planilha56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42</v>
      </c>
      <c r="B1" s="50">
        <f>A1/260</f>
        <v>0.16153846153846155</v>
      </c>
      <c r="C1" s="50">
        <f>1-B1</f>
        <v>0.83846153846153848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84</v>
      </c>
      <c r="E3" s="4"/>
      <c r="F3" s="4"/>
      <c r="G3" s="4"/>
      <c r="H3" s="4"/>
      <c r="I3" s="4"/>
      <c r="J3" s="4"/>
      <c r="N3" t="s">
        <v>2</v>
      </c>
      <c r="O3" s="4"/>
      <c r="P3" s="23">
        <v>44375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26" t="s">
        <v>114</v>
      </c>
      <c r="O8" s="9"/>
      <c r="P8" s="10"/>
      <c r="Q8" s="10"/>
      <c r="R8" s="26" t="s">
        <v>114</v>
      </c>
      <c r="S8" s="26" t="s">
        <v>116</v>
      </c>
      <c r="T8" s="26" t="s">
        <v>116</v>
      </c>
      <c r="U8" s="26" t="s">
        <v>116</v>
      </c>
      <c r="V8" s="9"/>
      <c r="W8" s="10"/>
      <c r="X8" s="10"/>
      <c r="Y8" s="26" t="s">
        <v>116</v>
      </c>
      <c r="Z8" s="26" t="s">
        <v>116</v>
      </c>
      <c r="AA8" s="26" t="s">
        <v>116</v>
      </c>
      <c r="AB8" s="26" t="s">
        <v>116</v>
      </c>
      <c r="AC8" s="9"/>
      <c r="AD8" s="10"/>
      <c r="AE8" s="10"/>
      <c r="AF8" s="26" t="s">
        <v>116</v>
      </c>
      <c r="AH8">
        <f>COUNTA(B8:AF8)</f>
        <v>10</v>
      </c>
    </row>
    <row r="9" spans="1:34" ht="15.5" x14ac:dyDescent="0.25">
      <c r="A9" s="19" t="s">
        <v>4</v>
      </c>
      <c r="B9" s="16"/>
      <c r="C9" s="16"/>
      <c r="D9" s="26" t="s">
        <v>116</v>
      </c>
      <c r="E9" s="9"/>
      <c r="F9" s="10"/>
      <c r="G9" s="10"/>
      <c r="H9" s="26" t="s">
        <v>114</v>
      </c>
      <c r="I9" s="9"/>
      <c r="J9" s="9"/>
      <c r="K9" s="26" t="s">
        <v>112</v>
      </c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26" t="s">
        <v>125</v>
      </c>
      <c r="X9" s="26" t="s">
        <v>114</v>
      </c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5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26" t="s">
        <v>114</v>
      </c>
      <c r="I10" s="26" t="s">
        <v>116</v>
      </c>
      <c r="J10" s="26" t="s">
        <v>116</v>
      </c>
      <c r="K10" s="26" t="s">
        <v>116</v>
      </c>
      <c r="L10" s="9"/>
      <c r="M10" s="10"/>
      <c r="N10" s="10"/>
      <c r="O10" s="9"/>
      <c r="P10" s="9"/>
      <c r="Q10" s="9"/>
      <c r="R10" s="9"/>
      <c r="S10" s="9"/>
      <c r="T10" s="10"/>
      <c r="U10" s="10"/>
      <c r="V10" s="26" t="s">
        <v>114</v>
      </c>
      <c r="W10" s="26" t="s">
        <v>116</v>
      </c>
      <c r="X10" s="26" t="s">
        <v>116</v>
      </c>
      <c r="Y10" s="26" t="s">
        <v>116</v>
      </c>
      <c r="Z10" s="9"/>
      <c r="AA10" s="10"/>
      <c r="AB10" s="10"/>
      <c r="AC10" s="9"/>
      <c r="AD10" s="9"/>
      <c r="AE10" s="9"/>
      <c r="AF10" s="9"/>
      <c r="AH10">
        <f t="shared" si="0"/>
        <v>8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26" t="s">
        <v>112</v>
      </c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26" t="s">
        <v>137</v>
      </c>
      <c r="AA11" s="9"/>
      <c r="AB11" s="26" t="s">
        <v>114</v>
      </c>
      <c r="AC11" s="9"/>
      <c r="AD11" s="9"/>
      <c r="AE11" s="10"/>
      <c r="AF11" s="22"/>
      <c r="AH11">
        <f t="shared" si="0"/>
        <v>3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26" t="s">
        <v>114</v>
      </c>
      <c r="J13" s="26" t="s">
        <v>116</v>
      </c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26" t="s">
        <v>114</v>
      </c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26" t="s">
        <v>114</v>
      </c>
      <c r="AA14" s="9"/>
      <c r="AB14" s="9"/>
      <c r="AC14" s="26" t="s">
        <v>113</v>
      </c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16"/>
      <c r="C15" s="16"/>
      <c r="D15" s="29" t="s">
        <v>175</v>
      </c>
      <c r="E15" s="29" t="s">
        <v>116</v>
      </c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114</v>
      </c>
      <c r="X15" s="26" t="s">
        <v>113</v>
      </c>
      <c r="Y15" s="26" t="s">
        <v>113</v>
      </c>
      <c r="Z15" s="26" t="s">
        <v>113</v>
      </c>
      <c r="AA15" s="9"/>
      <c r="AB15" s="10"/>
      <c r="AC15" s="10"/>
      <c r="AD15" s="9"/>
      <c r="AE15" s="9"/>
      <c r="AF15" s="9"/>
      <c r="AH15">
        <f t="shared" si="0"/>
        <v>6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 t="s">
        <v>175</v>
      </c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26" t="s">
        <v>114</v>
      </c>
      <c r="P18" s="26" t="s">
        <v>114</v>
      </c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29" t="s">
        <v>116</v>
      </c>
      <c r="C19" s="16"/>
      <c r="D19" s="10"/>
      <c r="E19" s="10"/>
      <c r="F19" s="9"/>
      <c r="G19" s="26" t="s">
        <v>114</v>
      </c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</row>
    <row r="23" spans="1:34" x14ac:dyDescent="0.25">
      <c r="A23" s="25">
        <v>44602</v>
      </c>
      <c r="B23" s="51"/>
      <c r="C23" s="51"/>
      <c r="D23" s="16"/>
      <c r="E23" s="51"/>
      <c r="F23" s="51"/>
      <c r="G23" s="16"/>
      <c r="H23" s="52" t="s">
        <v>120</v>
      </c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</row>
    <row r="24" spans="1:34" x14ac:dyDescent="0.25">
      <c r="A24" s="25">
        <v>44657</v>
      </c>
      <c r="B24" s="51"/>
      <c r="C24" s="51"/>
      <c r="D24" s="16"/>
      <c r="E24" s="51"/>
      <c r="F24" s="51"/>
      <c r="G24" s="16"/>
      <c r="H24" s="52" t="s">
        <v>129</v>
      </c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E28:F28"/>
    <mergeCell ref="H28:M28"/>
    <mergeCell ref="B26:C26"/>
    <mergeCell ref="E26:F26"/>
    <mergeCell ref="H26:M26"/>
    <mergeCell ref="B27:C27"/>
    <mergeCell ref="E27:F27"/>
    <mergeCell ref="H27:M27"/>
    <mergeCell ref="E24:F24"/>
    <mergeCell ref="H24:M24"/>
    <mergeCell ref="B25:C25"/>
    <mergeCell ref="H22:M22"/>
    <mergeCell ref="V1:W1"/>
    <mergeCell ref="A5:J5"/>
    <mergeCell ref="B6:C6"/>
    <mergeCell ref="E6:F6"/>
    <mergeCell ref="H6:J6"/>
    <mergeCell ref="E25:F25"/>
    <mergeCell ref="H25:M25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Planilha57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29</v>
      </c>
      <c r="B1" s="50">
        <f>A1/260</f>
        <v>0.11153846153846154</v>
      </c>
      <c r="C1" s="50">
        <f>1-B1</f>
        <v>0.88846153846153841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83</v>
      </c>
      <c r="E3" s="4"/>
      <c r="F3" s="4"/>
      <c r="G3" s="4"/>
      <c r="H3" s="4"/>
      <c r="I3" s="4"/>
      <c r="J3" s="4"/>
      <c r="N3" t="s">
        <v>2</v>
      </c>
      <c r="O3" s="4"/>
      <c r="P3" s="23">
        <v>37410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26" t="s">
        <v>125</v>
      </c>
      <c r="F8" s="9"/>
      <c r="G8" s="9"/>
      <c r="H8" s="26" t="s">
        <v>114</v>
      </c>
      <c r="I8" s="10"/>
      <c r="J8" s="10"/>
      <c r="K8" s="9"/>
      <c r="L8" s="9"/>
      <c r="M8" s="9"/>
      <c r="N8" s="9"/>
      <c r="O8" s="9"/>
      <c r="P8" s="10"/>
      <c r="Q8" s="10"/>
      <c r="R8" s="26" t="s">
        <v>114</v>
      </c>
      <c r="S8" s="9"/>
      <c r="T8" s="9"/>
      <c r="U8" s="9"/>
      <c r="V8" s="9"/>
      <c r="W8" s="10"/>
      <c r="X8" s="10"/>
      <c r="Y8" s="26" t="s">
        <v>113</v>
      </c>
      <c r="Z8" s="9"/>
      <c r="AA8" s="9"/>
      <c r="AB8" s="9"/>
      <c r="AC8" s="9"/>
      <c r="AD8" s="10"/>
      <c r="AE8" s="10"/>
      <c r="AF8" s="9"/>
      <c r="AH8">
        <f>COUNTA(B8:AF8)</f>
        <v>4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26" t="s">
        <v>114</v>
      </c>
      <c r="I9" s="26" t="s">
        <v>116</v>
      </c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26" t="s">
        <v>113</v>
      </c>
      <c r="AD9" s="22"/>
      <c r="AE9" s="22"/>
      <c r="AF9" s="22"/>
      <c r="AH9">
        <f t="shared" ref="AH9:AH19" si="0">COUNTA(B9:AF9)</f>
        <v>3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26" t="s">
        <v>114</v>
      </c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26" t="s">
        <v>125</v>
      </c>
      <c r="Z10" s="9"/>
      <c r="AA10" s="10"/>
      <c r="AB10" s="10"/>
      <c r="AC10" s="9"/>
      <c r="AD10" s="9"/>
      <c r="AE10" s="9"/>
      <c r="AF10" s="26" t="s">
        <v>113</v>
      </c>
      <c r="AH10">
        <f t="shared" si="0"/>
        <v>3</v>
      </c>
    </row>
    <row r="11" spans="1:34" ht="15.5" x14ac:dyDescent="0.35">
      <c r="A11" s="19" t="s">
        <v>6</v>
      </c>
      <c r="B11" s="16"/>
      <c r="C11" s="10"/>
      <c r="D11" s="10"/>
      <c r="E11" s="30" t="s">
        <v>114</v>
      </c>
      <c r="F11" s="26" t="s">
        <v>116</v>
      </c>
      <c r="G11" s="9"/>
      <c r="H11" s="9"/>
      <c r="I11" s="9"/>
      <c r="J11" s="10"/>
      <c r="K11" s="10"/>
      <c r="L11" s="9"/>
      <c r="M11" s="9"/>
      <c r="N11" s="9"/>
      <c r="O11" s="26" t="s">
        <v>113</v>
      </c>
      <c r="P11" s="9"/>
      <c r="Q11" s="10"/>
      <c r="R11" s="10"/>
      <c r="S11" s="26" t="s">
        <v>113</v>
      </c>
      <c r="T11" s="9"/>
      <c r="U11" s="9"/>
      <c r="V11" s="9"/>
      <c r="W11" s="9"/>
      <c r="X11" s="10"/>
      <c r="Y11" s="10"/>
      <c r="Z11" s="9"/>
      <c r="AA11" s="9"/>
      <c r="AB11" s="9"/>
      <c r="AC11" s="9" t="s">
        <v>118</v>
      </c>
      <c r="AD11" s="9"/>
      <c r="AE11" s="10"/>
      <c r="AF11" s="22"/>
      <c r="AH11">
        <f t="shared" si="0"/>
        <v>5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26" t="s">
        <v>114</v>
      </c>
      <c r="R12" s="26" t="s">
        <v>114</v>
      </c>
      <c r="S12" s="9"/>
      <c r="T12" s="9"/>
      <c r="U12" s="9"/>
      <c r="V12" s="10"/>
      <c r="W12" s="10"/>
      <c r="X12" s="9"/>
      <c r="Y12" s="9"/>
      <c r="Z12" s="9"/>
      <c r="AA12" s="26" t="s">
        <v>113</v>
      </c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26" t="s">
        <v>114</v>
      </c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26" t="s">
        <v>114</v>
      </c>
      <c r="AB14" s="26" t="s">
        <v>116</v>
      </c>
      <c r="AC14" s="9"/>
      <c r="AD14" s="9"/>
      <c r="AE14" s="10"/>
      <c r="AF14" s="10"/>
      <c r="AH14">
        <f t="shared" si="0"/>
        <v>2</v>
      </c>
    </row>
    <row r="15" spans="1:34" ht="15.5" x14ac:dyDescent="0.25">
      <c r="A15" s="19" t="s">
        <v>10</v>
      </c>
      <c r="B15" s="16"/>
      <c r="C15" s="16"/>
      <c r="D15" s="28" t="s">
        <v>184</v>
      </c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26" t="s">
        <v>114</v>
      </c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114</v>
      </c>
      <c r="N16" s="9"/>
      <c r="O16" s="26" t="s">
        <v>114</v>
      </c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26" t="s">
        <v>116</v>
      </c>
      <c r="F17" s="26" t="s">
        <v>116</v>
      </c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33" t="s">
        <v>113</v>
      </c>
      <c r="F18" s="10"/>
      <c r="G18" s="10"/>
      <c r="H18" s="26" t="s">
        <v>113</v>
      </c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44838</v>
      </c>
      <c r="B23" s="51"/>
      <c r="C23" s="51"/>
      <c r="D23" s="16"/>
      <c r="E23" s="51"/>
      <c r="F23" s="51"/>
      <c r="G23" s="16"/>
      <c r="H23" s="62" t="s">
        <v>227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Planilha58"/>
  <dimension ref="A1:AH28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9</v>
      </c>
      <c r="B1" s="50">
        <f>A1/260</f>
        <v>3.4615384615384617E-2</v>
      </c>
      <c r="C1" s="50">
        <f>1-B1</f>
        <v>0.9653846153846154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202</v>
      </c>
      <c r="E3" s="4"/>
      <c r="F3" s="4"/>
      <c r="G3" s="4"/>
      <c r="H3" s="4"/>
      <c r="I3" s="4"/>
      <c r="J3" s="4"/>
      <c r="N3" t="s">
        <v>2</v>
      </c>
      <c r="O3" s="4"/>
      <c r="P3" s="23">
        <v>44767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26" t="s">
        <v>175</v>
      </c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26" t="s">
        <v>178</v>
      </c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26" t="s">
        <v>113</v>
      </c>
      <c r="AH17">
        <f t="shared" si="0"/>
        <v>1</v>
      </c>
    </row>
    <row r="18" spans="1:34" ht="15.5" x14ac:dyDescent="0.25">
      <c r="A18" s="19" t="s">
        <v>13</v>
      </c>
      <c r="B18" s="42" t="s">
        <v>184</v>
      </c>
      <c r="C18" s="16"/>
      <c r="D18" s="16"/>
      <c r="E18" s="16"/>
      <c r="F18" s="10"/>
      <c r="G18" s="10"/>
      <c r="H18" s="26" t="s">
        <v>114</v>
      </c>
      <c r="I18" s="26" t="s">
        <v>116</v>
      </c>
      <c r="J18" s="26" t="s">
        <v>116</v>
      </c>
      <c r="K18" s="26" t="s">
        <v>116</v>
      </c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5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26" t="s">
        <v>178</v>
      </c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44760</v>
      </c>
      <c r="B23" s="51"/>
      <c r="C23" s="51"/>
      <c r="D23" s="16"/>
      <c r="E23" s="51"/>
      <c r="F23" s="51"/>
      <c r="G23" s="16"/>
      <c r="H23" s="62" t="s">
        <v>201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Planilha59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33</v>
      </c>
      <c r="B1" s="50">
        <f>A1/260</f>
        <v>0.12692307692307692</v>
      </c>
      <c r="C1" s="50">
        <f>1-B1</f>
        <v>0.87307692307692308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85</v>
      </c>
      <c r="E3" s="4"/>
      <c r="F3" s="4"/>
      <c r="G3" s="4"/>
      <c r="H3" s="4"/>
      <c r="I3" s="4"/>
      <c r="J3" s="4"/>
      <c r="N3" t="s">
        <v>2</v>
      </c>
      <c r="O3" s="4"/>
      <c r="P3" s="23">
        <v>38271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26" t="s">
        <v>113</v>
      </c>
      <c r="M8" s="9"/>
      <c r="N8" s="9"/>
      <c r="O8" s="9"/>
      <c r="P8" s="10"/>
      <c r="Q8" s="10"/>
      <c r="R8" s="26" t="s">
        <v>114</v>
      </c>
      <c r="S8" s="9"/>
      <c r="T8" s="9"/>
      <c r="U8" s="26" t="s">
        <v>114</v>
      </c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3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26" t="s">
        <v>114</v>
      </c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26" t="s">
        <v>114</v>
      </c>
      <c r="R10" s="26" t="s">
        <v>114</v>
      </c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26" t="s">
        <v>144</v>
      </c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26" t="s">
        <v>114</v>
      </c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28" t="s">
        <v>178</v>
      </c>
      <c r="D13" s="16"/>
      <c r="E13" s="10"/>
      <c r="F13" s="10"/>
      <c r="G13" s="9"/>
      <c r="H13" s="9"/>
      <c r="I13" s="9"/>
      <c r="J13" s="9"/>
      <c r="K13" s="9"/>
      <c r="L13" s="10"/>
      <c r="M13" s="10"/>
      <c r="N13" s="26" t="s">
        <v>114</v>
      </c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26" t="s">
        <v>114</v>
      </c>
      <c r="H14" s="26" t="s">
        <v>116</v>
      </c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26" t="s">
        <v>114</v>
      </c>
      <c r="V14" s="26" t="s">
        <v>114</v>
      </c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4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26" t="s">
        <v>114</v>
      </c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26" t="s">
        <v>114</v>
      </c>
      <c r="Z15" s="26" t="s">
        <v>114</v>
      </c>
      <c r="AA15" s="9"/>
      <c r="AB15" s="10"/>
      <c r="AC15" s="10"/>
      <c r="AD15" s="9"/>
      <c r="AE15" s="9"/>
      <c r="AF15" s="9"/>
      <c r="AH15">
        <f t="shared" si="0"/>
        <v>3</v>
      </c>
    </row>
    <row r="16" spans="1:34" ht="15.5" x14ac:dyDescent="0.25">
      <c r="A16" s="19" t="s">
        <v>11</v>
      </c>
      <c r="B16" s="16"/>
      <c r="C16" s="16"/>
      <c r="D16" s="10"/>
      <c r="E16" s="10"/>
      <c r="F16" s="26"/>
      <c r="G16" s="9"/>
      <c r="H16" s="9"/>
      <c r="I16" s="9"/>
      <c r="J16" s="9"/>
      <c r="K16" s="10"/>
      <c r="L16" s="10"/>
      <c r="M16" s="26" t="s">
        <v>113</v>
      </c>
      <c r="N16" s="26" t="s">
        <v>113</v>
      </c>
      <c r="O16" s="26" t="s">
        <v>113</v>
      </c>
      <c r="P16" s="26" t="s">
        <v>113</v>
      </c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4</v>
      </c>
    </row>
    <row r="17" spans="1:34" ht="15.5" x14ac:dyDescent="0.25">
      <c r="A17" s="19" t="s">
        <v>12</v>
      </c>
      <c r="B17" s="10"/>
      <c r="C17" s="10"/>
      <c r="D17" s="16"/>
      <c r="E17" s="16"/>
      <c r="F17" s="26" t="s">
        <v>178</v>
      </c>
      <c r="G17" s="9"/>
      <c r="H17" s="9"/>
      <c r="I17" s="10"/>
      <c r="J17" s="10"/>
      <c r="K17" s="26" t="s">
        <v>113</v>
      </c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26" t="s">
        <v>113</v>
      </c>
      <c r="AF18" s="22"/>
      <c r="AH18">
        <f t="shared" si="0"/>
        <v>1</v>
      </c>
    </row>
    <row r="19" spans="1:34" ht="15.5" x14ac:dyDescent="0.25">
      <c r="A19" s="19" t="s">
        <v>14</v>
      </c>
      <c r="B19" s="26" t="s">
        <v>113</v>
      </c>
      <c r="C19" s="16"/>
      <c r="D19" s="10"/>
      <c r="E19" s="10"/>
      <c r="F19" s="26" t="s">
        <v>113</v>
      </c>
      <c r="G19" s="26" t="s">
        <v>113</v>
      </c>
      <c r="H19" s="26" t="s">
        <v>116</v>
      </c>
      <c r="I19" s="26" t="s">
        <v>116</v>
      </c>
      <c r="J19" s="9"/>
      <c r="K19" s="10"/>
      <c r="L19" s="10"/>
      <c r="M19" s="26" t="s">
        <v>116</v>
      </c>
      <c r="N19" s="26" t="s">
        <v>116</v>
      </c>
      <c r="O19" s="26" t="s">
        <v>116</v>
      </c>
      <c r="P19" s="26" t="s">
        <v>116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9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Planilha60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14</v>
      </c>
      <c r="B1" s="50">
        <f>A1/260</f>
        <v>5.3846153846153849E-2</v>
      </c>
      <c r="C1" s="50">
        <f>1-B1</f>
        <v>0.94615384615384612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86</v>
      </c>
      <c r="E3" s="4"/>
      <c r="F3" s="4"/>
      <c r="G3" s="4"/>
      <c r="H3" s="4"/>
      <c r="I3" s="4"/>
      <c r="J3" s="4"/>
      <c r="N3" t="s">
        <v>2</v>
      </c>
      <c r="O3" s="4"/>
      <c r="P3" s="23">
        <v>43993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26" t="s">
        <v>112</v>
      </c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1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35">
      <c r="A10" s="19" t="s">
        <v>5</v>
      </c>
      <c r="B10" s="16"/>
      <c r="C10" s="30" t="s">
        <v>112</v>
      </c>
      <c r="D10" s="30" t="s">
        <v>116</v>
      </c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26" t="s">
        <v>114</v>
      </c>
      <c r="AE10" s="9"/>
      <c r="AF10" s="9"/>
      <c r="AH10">
        <f t="shared" si="0"/>
        <v>3</v>
      </c>
    </row>
    <row r="11" spans="1:34" ht="15.5" x14ac:dyDescent="0.25">
      <c r="A11" s="19" t="s">
        <v>6</v>
      </c>
      <c r="B11" s="16"/>
      <c r="C11" s="10"/>
      <c r="D11" s="10"/>
      <c r="E11" s="16"/>
      <c r="F11" s="26" t="s">
        <v>112</v>
      </c>
      <c r="G11" s="9"/>
      <c r="H11" s="9"/>
      <c r="I11" s="9"/>
      <c r="J11" s="10"/>
      <c r="K11" s="10"/>
      <c r="L11" s="9"/>
      <c r="M11" s="9"/>
      <c r="N11" s="26" t="s">
        <v>161</v>
      </c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29" t="s">
        <v>139</v>
      </c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26" t="s">
        <v>178</v>
      </c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26" t="s">
        <v>178</v>
      </c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26" t="s">
        <v>114</v>
      </c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26" t="s">
        <v>113</v>
      </c>
      <c r="P18" s="26" t="s">
        <v>113</v>
      </c>
      <c r="Q18" s="26" t="s">
        <v>113</v>
      </c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3</v>
      </c>
    </row>
    <row r="19" spans="1:34" ht="15.5" x14ac:dyDescent="0.25">
      <c r="A19" s="19" t="s">
        <v>14</v>
      </c>
      <c r="B19" s="16"/>
      <c r="C19" s="16"/>
      <c r="D19" s="10"/>
      <c r="E19" s="10"/>
      <c r="F19" s="26" t="s">
        <v>178</v>
      </c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44581</v>
      </c>
      <c r="B23" s="51"/>
      <c r="C23" s="51"/>
      <c r="D23" s="16"/>
      <c r="E23" s="51"/>
      <c r="F23" s="51"/>
      <c r="G23" s="16"/>
      <c r="H23" s="6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44622</v>
      </c>
      <c r="B24" s="51"/>
      <c r="C24" s="51"/>
      <c r="D24" s="16"/>
      <c r="E24" s="51"/>
      <c r="F24" s="51"/>
      <c r="G24" s="16"/>
      <c r="H24" s="62" t="s">
        <v>120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>
        <v>44656</v>
      </c>
      <c r="B25" s="51"/>
      <c r="C25" s="51"/>
      <c r="D25" s="16"/>
      <c r="E25" s="51"/>
      <c r="F25" s="51"/>
      <c r="G25" s="16"/>
      <c r="H25" s="62" t="s">
        <v>120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  <c r="Y26" s="20" t="s">
        <v>162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Planilha61"/>
  <dimension ref="A1:AH34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15</v>
      </c>
      <c r="B1" s="50">
        <f>A1/260</f>
        <v>5.7692307692307696E-2</v>
      </c>
      <c r="C1" s="50">
        <f>1-B1</f>
        <v>0.94230769230769229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87</v>
      </c>
      <c r="E3" s="4"/>
      <c r="F3" s="4"/>
      <c r="G3" s="4"/>
      <c r="H3" s="4"/>
      <c r="I3" s="4"/>
      <c r="J3" s="4"/>
      <c r="N3" t="s">
        <v>2</v>
      </c>
      <c r="O3" s="4"/>
      <c r="P3" s="23">
        <v>44082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26" t="s">
        <v>112</v>
      </c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26" t="s">
        <v>116</v>
      </c>
      <c r="AH8">
        <f>COUNTA(B8:AF8)</f>
        <v>2</v>
      </c>
    </row>
    <row r="9" spans="1:34" ht="15.5" x14ac:dyDescent="0.25">
      <c r="A9" s="19" t="s">
        <v>4</v>
      </c>
      <c r="B9" s="33" t="s">
        <v>116</v>
      </c>
      <c r="C9" s="33" t="s">
        <v>116</v>
      </c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26" t="s">
        <v>112</v>
      </c>
      <c r="S9" s="9"/>
      <c r="T9" s="10"/>
      <c r="U9" s="10"/>
      <c r="V9" s="9"/>
      <c r="W9" s="26" t="s">
        <v>112</v>
      </c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4</v>
      </c>
    </row>
    <row r="10" spans="1:34" ht="15.5" x14ac:dyDescent="0.25">
      <c r="A10" s="19" t="s">
        <v>5</v>
      </c>
      <c r="B10" s="33" t="s">
        <v>163</v>
      </c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26" t="s">
        <v>112</v>
      </c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33" t="s">
        <v>125</v>
      </c>
      <c r="F11" s="26" t="s">
        <v>116</v>
      </c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26" t="s">
        <v>125</v>
      </c>
      <c r="U11" s="9"/>
      <c r="V11" s="26" t="s">
        <v>113</v>
      </c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4</v>
      </c>
    </row>
    <row r="12" spans="1:34" ht="15.5" x14ac:dyDescent="0.3">
      <c r="A12" s="19" t="s">
        <v>7</v>
      </c>
      <c r="B12" s="16"/>
      <c r="C12" s="16"/>
      <c r="D12" s="36" t="s">
        <v>138</v>
      </c>
      <c r="E12" s="36" t="s">
        <v>116</v>
      </c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2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26" t="s">
        <v>141</v>
      </c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45"/>
      <c r="P18" s="45"/>
      <c r="Q18" s="45"/>
      <c r="R18" s="45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44573</v>
      </c>
      <c r="B23" s="51"/>
      <c r="C23" s="51"/>
      <c r="D23" s="16"/>
      <c r="E23" s="51"/>
      <c r="F23" s="51"/>
      <c r="G23" s="16"/>
      <c r="H23" s="6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44609</v>
      </c>
      <c r="B24" s="51"/>
      <c r="C24" s="51"/>
      <c r="D24" s="16"/>
      <c r="E24" s="51"/>
      <c r="F24" s="51"/>
      <c r="G24" s="16"/>
      <c r="H24" s="62" t="s">
        <v>120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>
        <v>44614</v>
      </c>
      <c r="B25" s="51"/>
      <c r="C25" s="51"/>
      <c r="D25" s="16"/>
      <c r="E25" s="51"/>
      <c r="F25" s="51"/>
      <c r="G25" s="16"/>
      <c r="H25" s="62" t="s">
        <v>120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>
        <v>44648</v>
      </c>
      <c r="B26" s="51"/>
      <c r="C26" s="51"/>
      <c r="D26" s="16"/>
      <c r="E26" s="51"/>
      <c r="F26" s="51"/>
      <c r="G26" s="16"/>
      <c r="H26" s="62" t="s">
        <v>120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29" spans="1:34" x14ac:dyDescent="0.25">
      <c r="A29" s="25" t="s">
        <v>118</v>
      </c>
      <c r="B29" s="51"/>
      <c r="C29" s="51"/>
      <c r="D29" s="16"/>
      <c r="E29" s="51"/>
      <c r="F29" s="51"/>
      <c r="G29" s="16"/>
      <c r="H29" s="52" t="s">
        <v>118</v>
      </c>
      <c r="I29" s="53"/>
      <c r="J29" s="53"/>
      <c r="K29" s="53"/>
      <c r="L29" s="53"/>
      <c r="M29" s="54"/>
    </row>
    <row r="30" spans="1:34" x14ac:dyDescent="0.25">
      <c r="A30" s="17"/>
      <c r="B30" s="51"/>
      <c r="C30" s="51"/>
      <c r="D30" s="16"/>
      <c r="E30" s="51"/>
      <c r="F30" s="51"/>
      <c r="G30" s="16"/>
      <c r="H30" s="52"/>
      <c r="I30" s="53"/>
      <c r="J30" s="53"/>
      <c r="K30" s="53"/>
      <c r="L30" s="53"/>
      <c r="M30" s="54"/>
    </row>
    <row r="31" spans="1:34" x14ac:dyDescent="0.25">
      <c r="A31" s="25" t="s">
        <v>118</v>
      </c>
      <c r="B31" s="51"/>
      <c r="C31" s="51"/>
      <c r="D31" s="16"/>
      <c r="E31" s="51"/>
      <c r="F31" s="51"/>
      <c r="G31" s="16"/>
      <c r="H31" s="52" t="s">
        <v>118</v>
      </c>
      <c r="I31" s="53"/>
      <c r="J31" s="53"/>
      <c r="K31" s="53"/>
      <c r="L31" s="53"/>
      <c r="M31" s="54"/>
    </row>
    <row r="32" spans="1:34" x14ac:dyDescent="0.25">
      <c r="A32" s="17"/>
      <c r="B32" s="51"/>
      <c r="C32" s="51"/>
      <c r="D32" s="16"/>
      <c r="E32" s="51"/>
      <c r="F32" s="51"/>
      <c r="G32" s="16"/>
      <c r="H32" s="52"/>
      <c r="I32" s="53"/>
      <c r="J32" s="53"/>
      <c r="K32" s="53"/>
      <c r="L32" s="53"/>
      <c r="M32" s="54"/>
    </row>
    <row r="33" spans="1:13" x14ac:dyDescent="0.25">
      <c r="A33" s="25" t="s">
        <v>118</v>
      </c>
      <c r="B33" s="51"/>
      <c r="C33" s="51"/>
      <c r="D33" s="16"/>
      <c r="E33" s="51"/>
      <c r="F33" s="51"/>
      <c r="G33" s="16"/>
      <c r="H33" s="52" t="s">
        <v>118</v>
      </c>
      <c r="I33" s="53"/>
      <c r="J33" s="53"/>
      <c r="K33" s="53"/>
      <c r="L33" s="53"/>
      <c r="M33" s="54"/>
    </row>
    <row r="34" spans="1:13" x14ac:dyDescent="0.25">
      <c r="A34" s="17"/>
      <c r="B34" s="51"/>
      <c r="C34" s="51"/>
      <c r="D34" s="16"/>
      <c r="E34" s="51"/>
      <c r="F34" s="51"/>
      <c r="G34" s="16"/>
      <c r="H34" s="52"/>
      <c r="I34" s="53"/>
      <c r="J34" s="53"/>
      <c r="K34" s="53"/>
      <c r="L34" s="53"/>
      <c r="M34" s="54"/>
    </row>
  </sheetData>
  <mergeCells count="42">
    <mergeCell ref="B34:C34"/>
    <mergeCell ref="E34:F34"/>
    <mergeCell ref="H34:M34"/>
    <mergeCell ref="B32:C32"/>
    <mergeCell ref="E32:F32"/>
    <mergeCell ref="H32:M32"/>
    <mergeCell ref="B33:C33"/>
    <mergeCell ref="E33:F33"/>
    <mergeCell ref="H33:M33"/>
    <mergeCell ref="B26:C26"/>
    <mergeCell ref="E26:F26"/>
    <mergeCell ref="H26:M26"/>
    <mergeCell ref="E28:F28"/>
    <mergeCell ref="H28:M28"/>
    <mergeCell ref="B31:C31"/>
    <mergeCell ref="E31:F31"/>
    <mergeCell ref="H31:M31"/>
    <mergeCell ref="B27:C27"/>
    <mergeCell ref="E27:F27"/>
    <mergeCell ref="H27:M27"/>
    <mergeCell ref="B29:C29"/>
    <mergeCell ref="B28:C28"/>
    <mergeCell ref="E29:F29"/>
    <mergeCell ref="H29:M29"/>
    <mergeCell ref="B30:C30"/>
    <mergeCell ref="E30:F30"/>
    <mergeCell ref="H30:M30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  <mergeCell ref="B23:C23"/>
    <mergeCell ref="E23:F23"/>
    <mergeCell ref="H23:M23"/>
    <mergeCell ref="B24:C24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Planilha62"/>
  <dimension ref="A1:AH34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11.17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41</v>
      </c>
      <c r="B1" s="50">
        <f>A1/260</f>
        <v>0.15769230769230769</v>
      </c>
      <c r="C1" s="50">
        <f>1-B1</f>
        <v>0.84230769230769231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88</v>
      </c>
      <c r="E3" s="4"/>
      <c r="F3" s="4"/>
      <c r="G3" s="4"/>
      <c r="H3" s="4"/>
      <c r="I3" s="4"/>
      <c r="J3" s="4"/>
      <c r="N3" t="s">
        <v>2</v>
      </c>
      <c r="O3" s="4"/>
      <c r="P3" s="23">
        <v>44172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26" t="s">
        <v>114</v>
      </c>
      <c r="I8" s="10"/>
      <c r="J8" s="10"/>
      <c r="K8" s="26" t="s">
        <v>114</v>
      </c>
      <c r="L8" s="26" t="s">
        <v>116</v>
      </c>
      <c r="M8" s="26" t="s">
        <v>116</v>
      </c>
      <c r="N8" s="26" t="s">
        <v>116</v>
      </c>
      <c r="O8" s="9"/>
      <c r="P8" s="10"/>
      <c r="Q8" s="10"/>
      <c r="R8" s="26" t="s">
        <v>125</v>
      </c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6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29" t="s">
        <v>112</v>
      </c>
      <c r="D10" s="29" t="s">
        <v>121</v>
      </c>
      <c r="E10" s="16"/>
      <c r="F10" s="10"/>
      <c r="G10" s="10"/>
      <c r="H10" s="9"/>
      <c r="I10" s="9"/>
      <c r="J10" s="9"/>
      <c r="K10" s="9"/>
      <c r="L10" s="9"/>
      <c r="M10" s="10"/>
      <c r="N10" s="10"/>
      <c r="O10" s="26" t="s">
        <v>112</v>
      </c>
      <c r="P10" s="26" t="s">
        <v>116</v>
      </c>
      <c r="Q10" s="26" t="s">
        <v>112</v>
      </c>
      <c r="R10" s="26" t="s">
        <v>116</v>
      </c>
      <c r="S10" s="9"/>
      <c r="T10" s="10"/>
      <c r="U10" s="10"/>
      <c r="V10" s="26" t="s">
        <v>112</v>
      </c>
      <c r="W10" s="26" t="s">
        <v>116</v>
      </c>
      <c r="X10" s="26" t="s">
        <v>112</v>
      </c>
      <c r="Y10" s="9"/>
      <c r="Z10" s="9"/>
      <c r="AA10" s="10"/>
      <c r="AB10" s="10"/>
      <c r="AC10" s="9"/>
      <c r="AD10" s="9"/>
      <c r="AE10" s="9"/>
      <c r="AF10" s="9"/>
      <c r="AH10">
        <f t="shared" si="0"/>
        <v>9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26" t="s">
        <v>158</v>
      </c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26" t="s">
        <v>119</v>
      </c>
      <c r="G12" s="9"/>
      <c r="H12" s="10"/>
      <c r="I12" s="10"/>
      <c r="J12" s="9"/>
      <c r="K12" s="9"/>
      <c r="L12" s="9"/>
      <c r="M12" s="26" t="s">
        <v>137</v>
      </c>
      <c r="N12" s="9"/>
      <c r="O12" s="10"/>
      <c r="P12" s="10"/>
      <c r="Q12" s="9"/>
      <c r="R12" s="9"/>
      <c r="S12" s="26" t="s">
        <v>183</v>
      </c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16"/>
      <c r="C13" s="16"/>
      <c r="D13" s="29" t="s">
        <v>114</v>
      </c>
      <c r="E13" s="10"/>
      <c r="F13" s="10"/>
      <c r="G13" s="9"/>
      <c r="H13" s="9"/>
      <c r="I13" s="9"/>
      <c r="J13" s="9"/>
      <c r="K13" s="9"/>
      <c r="L13" s="10"/>
      <c r="M13" s="10"/>
      <c r="N13" s="26" t="s">
        <v>196</v>
      </c>
      <c r="O13" s="26" t="s">
        <v>140</v>
      </c>
      <c r="P13" s="26" t="s">
        <v>140</v>
      </c>
      <c r="Q13" s="26" t="s">
        <v>140</v>
      </c>
      <c r="R13" s="9"/>
      <c r="S13" s="10"/>
      <c r="T13" s="10"/>
      <c r="U13" s="26" t="s">
        <v>196</v>
      </c>
      <c r="V13" s="26" t="s">
        <v>140</v>
      </c>
      <c r="W13" s="26" t="s">
        <v>140</v>
      </c>
      <c r="X13" s="26" t="s">
        <v>140</v>
      </c>
      <c r="Y13" s="9"/>
      <c r="Z13" s="10"/>
      <c r="AA13" s="10"/>
      <c r="AB13" s="9"/>
      <c r="AC13" s="9"/>
      <c r="AD13" s="9"/>
      <c r="AE13" s="9"/>
      <c r="AF13" s="22"/>
      <c r="AH13">
        <f t="shared" si="0"/>
        <v>9</v>
      </c>
    </row>
    <row r="14" spans="1:34" ht="15.5" x14ac:dyDescent="0.25">
      <c r="A14" s="19" t="s">
        <v>9</v>
      </c>
      <c r="B14" s="16"/>
      <c r="C14" s="10"/>
      <c r="D14" s="10"/>
      <c r="E14" s="16"/>
      <c r="F14" s="26" t="s">
        <v>140</v>
      </c>
      <c r="G14" s="26" t="s">
        <v>140</v>
      </c>
      <c r="H14" s="26" t="s">
        <v>140</v>
      </c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26" t="s">
        <v>114</v>
      </c>
      <c r="K15" s="26" t="s">
        <v>116</v>
      </c>
      <c r="L15" s="26" t="s">
        <v>116</v>
      </c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26" t="s">
        <v>178</v>
      </c>
      <c r="AA15" s="9"/>
      <c r="AB15" s="10"/>
      <c r="AC15" s="10"/>
      <c r="AD15" s="9"/>
      <c r="AE15" s="9"/>
      <c r="AF15" s="9"/>
      <c r="AH15">
        <f t="shared" si="0"/>
        <v>4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26" t="s">
        <v>140</v>
      </c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26" t="s">
        <v>140</v>
      </c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26" t="s">
        <v>114</v>
      </c>
      <c r="G19" s="26" t="s">
        <v>116</v>
      </c>
      <c r="H19" s="26" t="s">
        <v>116</v>
      </c>
      <c r="I19" s="26" t="s">
        <v>116</v>
      </c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4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/>
      <c r="B23" s="51"/>
      <c r="C23" s="51"/>
      <c r="D23" s="16"/>
      <c r="E23" s="51"/>
      <c r="F23" s="51"/>
      <c r="G23" s="16"/>
      <c r="H23" s="62"/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N26" s="20" t="s">
        <v>31</v>
      </c>
    </row>
    <row r="27" spans="1:34" x14ac:dyDescent="0.25">
      <c r="A27" s="25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29" spans="1:34" x14ac:dyDescent="0.25">
      <c r="A29" s="25" t="s">
        <v>118</v>
      </c>
      <c r="B29" s="51"/>
      <c r="C29" s="51"/>
      <c r="D29" s="16"/>
      <c r="E29" s="51"/>
      <c r="F29" s="51"/>
      <c r="G29" s="16"/>
      <c r="H29" s="52" t="s">
        <v>118</v>
      </c>
      <c r="I29" s="53"/>
      <c r="J29" s="53"/>
      <c r="K29" s="53"/>
      <c r="L29" s="53"/>
      <c r="M29" s="54"/>
    </row>
    <row r="30" spans="1:34" x14ac:dyDescent="0.25">
      <c r="A30" s="25" t="s">
        <v>118</v>
      </c>
      <c r="B30" s="51"/>
      <c r="C30" s="51"/>
      <c r="D30" s="16"/>
      <c r="E30" s="51"/>
      <c r="F30" s="51"/>
      <c r="G30" s="16"/>
      <c r="H30" s="52" t="s">
        <v>118</v>
      </c>
      <c r="I30" s="53"/>
      <c r="J30" s="53"/>
      <c r="K30" s="53"/>
      <c r="L30" s="53"/>
      <c r="M30" s="54"/>
    </row>
    <row r="31" spans="1:34" x14ac:dyDescent="0.25">
      <c r="A31" s="17"/>
      <c r="B31" s="51"/>
      <c r="C31" s="51"/>
      <c r="D31" s="16"/>
      <c r="E31" s="51"/>
      <c r="F31" s="51"/>
      <c r="G31" s="16"/>
      <c r="H31" s="52"/>
      <c r="I31" s="53"/>
      <c r="J31" s="53"/>
      <c r="K31" s="53"/>
      <c r="L31" s="53"/>
      <c r="M31" s="54"/>
    </row>
    <row r="32" spans="1:34" x14ac:dyDescent="0.25">
      <c r="A32" s="25" t="s">
        <v>118</v>
      </c>
      <c r="B32" s="51"/>
      <c r="C32" s="51"/>
      <c r="D32" s="16"/>
      <c r="E32" s="51"/>
      <c r="F32" s="51"/>
      <c r="G32" s="16"/>
      <c r="H32" s="52" t="s">
        <v>118</v>
      </c>
      <c r="I32" s="53"/>
      <c r="J32" s="53"/>
      <c r="K32" s="53"/>
      <c r="L32" s="53"/>
      <c r="M32" s="54"/>
    </row>
    <row r="33" spans="1:13" x14ac:dyDescent="0.25">
      <c r="A33" s="25" t="s">
        <v>118</v>
      </c>
      <c r="B33" s="51"/>
      <c r="C33" s="51"/>
      <c r="D33" s="16"/>
      <c r="E33" s="51"/>
      <c r="F33" s="51"/>
      <c r="G33" s="16"/>
      <c r="H33" s="52" t="s">
        <v>118</v>
      </c>
      <c r="I33" s="53"/>
      <c r="J33" s="53"/>
      <c r="K33" s="53"/>
      <c r="L33" s="53"/>
      <c r="M33" s="54"/>
    </row>
    <row r="34" spans="1:13" x14ac:dyDescent="0.25">
      <c r="A34" s="17"/>
      <c r="B34" s="51"/>
      <c r="C34" s="51"/>
      <c r="D34" s="16"/>
      <c r="E34" s="51"/>
      <c r="F34" s="51"/>
      <c r="G34" s="16"/>
      <c r="H34" s="52"/>
      <c r="I34" s="53"/>
      <c r="J34" s="53"/>
      <c r="K34" s="53"/>
      <c r="L34" s="53"/>
      <c r="M34" s="54"/>
    </row>
  </sheetData>
  <mergeCells count="42">
    <mergeCell ref="B34:C34"/>
    <mergeCell ref="E34:F34"/>
    <mergeCell ref="H34:M34"/>
    <mergeCell ref="B32:C32"/>
    <mergeCell ref="E32:F32"/>
    <mergeCell ref="H32:M32"/>
    <mergeCell ref="B33:C33"/>
    <mergeCell ref="E33:F33"/>
    <mergeCell ref="H33:M33"/>
    <mergeCell ref="B26:C26"/>
    <mergeCell ref="E26:F26"/>
    <mergeCell ref="H26:M26"/>
    <mergeCell ref="E28:F28"/>
    <mergeCell ref="H28:M28"/>
    <mergeCell ref="B31:C31"/>
    <mergeCell ref="E31:F31"/>
    <mergeCell ref="H31:M31"/>
    <mergeCell ref="B27:C27"/>
    <mergeCell ref="E27:F27"/>
    <mergeCell ref="H27:M27"/>
    <mergeCell ref="B29:C29"/>
    <mergeCell ref="B28:C28"/>
    <mergeCell ref="E29:F29"/>
    <mergeCell ref="H29:M29"/>
    <mergeCell ref="B30:C30"/>
    <mergeCell ref="E30:F30"/>
    <mergeCell ref="H30:M30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  <mergeCell ref="B23:C23"/>
    <mergeCell ref="E23:F23"/>
    <mergeCell ref="H23:M23"/>
    <mergeCell ref="B24:C24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Planilha63"/>
  <dimension ref="A1:AH28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23</v>
      </c>
      <c r="B1" s="50">
        <f>A1/260</f>
        <v>8.8461538461538466E-2</v>
      </c>
      <c r="C1" s="50">
        <f>1-B1</f>
        <v>0.91153846153846152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189</v>
      </c>
      <c r="E3" s="4"/>
      <c r="F3" s="4"/>
      <c r="G3" s="4"/>
      <c r="H3" s="4"/>
      <c r="I3" s="4"/>
      <c r="J3" s="4"/>
      <c r="N3" t="s">
        <v>2</v>
      </c>
      <c r="O3" s="4"/>
      <c r="P3" s="23">
        <v>44704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29" t="s">
        <v>179</v>
      </c>
      <c r="D13" s="16"/>
      <c r="E13" s="10"/>
      <c r="F13" s="10"/>
      <c r="G13" s="9"/>
      <c r="H13" s="9"/>
      <c r="I13" s="9"/>
      <c r="J13" s="9"/>
      <c r="K13" s="9"/>
      <c r="L13" s="10"/>
      <c r="M13" s="10"/>
      <c r="N13" s="26" t="s">
        <v>114</v>
      </c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28" t="s">
        <v>114</v>
      </c>
      <c r="C15" s="28" t="s">
        <v>116</v>
      </c>
      <c r="D15" s="16"/>
      <c r="E15" s="16"/>
      <c r="F15" s="9"/>
      <c r="G15" s="10"/>
      <c r="H15" s="10"/>
      <c r="I15" s="9"/>
      <c r="J15" s="9"/>
      <c r="K15" s="9"/>
      <c r="L15" s="26" t="s">
        <v>114</v>
      </c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114</v>
      </c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4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114</v>
      </c>
      <c r="N16" s="26" t="s">
        <v>116</v>
      </c>
      <c r="O16" s="26" t="s">
        <v>116</v>
      </c>
      <c r="P16" s="26" t="s">
        <v>116</v>
      </c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26" t="s">
        <v>114</v>
      </c>
      <c r="AC16" s="9"/>
      <c r="AD16" s="9"/>
      <c r="AE16" s="9"/>
      <c r="AF16" s="22"/>
      <c r="AH16">
        <f t="shared" si="0"/>
        <v>5</v>
      </c>
    </row>
    <row r="17" spans="1:34" ht="15.5" x14ac:dyDescent="0.25">
      <c r="A17" s="19" t="s">
        <v>12</v>
      </c>
      <c r="B17" s="10"/>
      <c r="C17" s="10"/>
      <c r="D17" s="16"/>
      <c r="E17" s="16"/>
      <c r="F17" s="26" t="s">
        <v>178</v>
      </c>
      <c r="G17" s="26" t="s">
        <v>116</v>
      </c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26" t="s">
        <v>243</v>
      </c>
      <c r="AH17">
        <f t="shared" si="0"/>
        <v>3</v>
      </c>
    </row>
    <row r="18" spans="1:34" ht="15.5" x14ac:dyDescent="0.25">
      <c r="A18" s="19" t="s">
        <v>13</v>
      </c>
      <c r="B18" s="33" t="s">
        <v>252</v>
      </c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26" t="s">
        <v>114</v>
      </c>
      <c r="P18" s="26" t="s">
        <v>114</v>
      </c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116</v>
      </c>
      <c r="AE18" s="9"/>
      <c r="AF18" s="22"/>
      <c r="AH18">
        <f t="shared" si="0"/>
        <v>4</v>
      </c>
    </row>
    <row r="19" spans="1:34" ht="15.5" x14ac:dyDescent="0.25">
      <c r="A19" s="19" t="s">
        <v>14</v>
      </c>
      <c r="B19" s="29" t="s">
        <v>252</v>
      </c>
      <c r="C19" s="16"/>
      <c r="D19" s="10"/>
      <c r="E19" s="10"/>
      <c r="F19" s="26" t="s">
        <v>114</v>
      </c>
      <c r="G19" s="26" t="s">
        <v>116</v>
      </c>
      <c r="H19" s="26" t="s">
        <v>179</v>
      </c>
      <c r="I19" s="9"/>
      <c r="J19" s="9"/>
      <c r="K19" s="10"/>
      <c r="L19" s="10"/>
      <c r="M19" s="9"/>
      <c r="N19" s="26" t="s">
        <v>179</v>
      </c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5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/>
      <c r="B23" s="64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Planilha64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29</v>
      </c>
      <c r="B1" s="50">
        <f>A1/260</f>
        <v>0.11153846153846154</v>
      </c>
      <c r="C1" s="50">
        <f>1-B1</f>
        <v>0.88846153846153841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89</v>
      </c>
      <c r="E3" s="4"/>
      <c r="F3" s="4"/>
      <c r="G3" s="4"/>
      <c r="H3" s="4"/>
      <c r="I3" s="4"/>
      <c r="J3" s="4"/>
      <c r="N3" t="s">
        <v>2</v>
      </c>
      <c r="O3" s="4"/>
      <c r="P3" s="23">
        <v>37459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26" t="s">
        <v>114</v>
      </c>
      <c r="L8" s="26" t="s">
        <v>116</v>
      </c>
      <c r="M8" s="9"/>
      <c r="N8" s="9"/>
      <c r="O8" s="9"/>
      <c r="P8" s="10"/>
      <c r="Q8" s="10"/>
      <c r="R8" s="26" t="s">
        <v>114</v>
      </c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26" t="s">
        <v>114</v>
      </c>
      <c r="AH8">
        <f>COUNTA(B8:AF8)</f>
        <v>4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26" t="s">
        <v>114</v>
      </c>
      <c r="I10" s="26" t="s">
        <v>116</v>
      </c>
      <c r="J10" s="26" t="s">
        <v>113</v>
      </c>
      <c r="K10" s="26" t="s">
        <v>113</v>
      </c>
      <c r="L10" s="9"/>
      <c r="M10" s="10"/>
      <c r="N10" s="10"/>
      <c r="O10" s="9"/>
      <c r="P10" s="9" t="s">
        <v>118</v>
      </c>
      <c r="Q10" s="9"/>
      <c r="R10" s="9"/>
      <c r="S10" s="9"/>
      <c r="T10" s="10"/>
      <c r="U10" s="10"/>
      <c r="V10" s="26" t="s">
        <v>114</v>
      </c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6</v>
      </c>
    </row>
    <row r="11" spans="1:34" ht="15.5" x14ac:dyDescent="0.25">
      <c r="A11" s="19" t="s">
        <v>6</v>
      </c>
      <c r="B11" s="16"/>
      <c r="C11" s="10"/>
      <c r="D11" s="10"/>
      <c r="E11" s="29" t="s">
        <v>114</v>
      </c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26" t="s">
        <v>114</v>
      </c>
      <c r="AA11" s="26" t="s">
        <v>116</v>
      </c>
      <c r="AB11" s="26" t="s">
        <v>116</v>
      </c>
      <c r="AC11" s="9"/>
      <c r="AD11" s="9"/>
      <c r="AE11" s="10"/>
      <c r="AF11" s="22"/>
      <c r="AH11">
        <f t="shared" si="0"/>
        <v>4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26" t="s">
        <v>114</v>
      </c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26" t="s">
        <v>178</v>
      </c>
      <c r="O13" s="26" t="s">
        <v>114</v>
      </c>
      <c r="P13" s="26" t="s">
        <v>116</v>
      </c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3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26" t="s">
        <v>113</v>
      </c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26" t="s">
        <v>113</v>
      </c>
      <c r="J15" s="26" t="s">
        <v>113</v>
      </c>
      <c r="K15" s="26" t="s">
        <v>113</v>
      </c>
      <c r="L15" s="26" t="s">
        <v>113</v>
      </c>
      <c r="M15" s="9"/>
      <c r="N15" s="10"/>
      <c r="O15" s="10"/>
      <c r="P15" s="26" t="s">
        <v>114</v>
      </c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5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114</v>
      </c>
      <c r="N16" s="26" t="s">
        <v>116</v>
      </c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26" t="s">
        <v>114</v>
      </c>
      <c r="AH17">
        <f t="shared" si="0"/>
        <v>1</v>
      </c>
    </row>
    <row r="18" spans="1:34" ht="15.5" x14ac:dyDescent="0.3">
      <c r="A18" s="19" t="s">
        <v>13</v>
      </c>
      <c r="B18" s="36" t="s">
        <v>114</v>
      </c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26" t="s">
        <v>113</v>
      </c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44781</v>
      </c>
      <c r="B23" s="51"/>
      <c r="C23" s="51"/>
      <c r="D23" s="16"/>
      <c r="E23" s="51"/>
      <c r="F23" s="51"/>
      <c r="G23" s="16"/>
      <c r="H23" s="62" t="s">
        <v>207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Planilha65"/>
  <dimension ref="A1:AH28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5</v>
      </c>
      <c r="B1" s="50">
        <f>A1/260</f>
        <v>1.9230769230769232E-2</v>
      </c>
      <c r="C1" s="50">
        <f>1-B1</f>
        <v>0.98076923076923073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224</v>
      </c>
      <c r="E3" s="4"/>
      <c r="F3" s="4"/>
      <c r="G3" s="4"/>
      <c r="H3" s="4"/>
      <c r="I3" s="4"/>
      <c r="J3" s="4"/>
      <c r="N3" t="s">
        <v>2</v>
      </c>
      <c r="O3" s="4"/>
      <c r="P3" s="24" t="s">
        <v>91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34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26" t="s">
        <v>114</v>
      </c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42" t="s">
        <v>175</v>
      </c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26" t="s">
        <v>141</v>
      </c>
      <c r="AA17" s="26" t="s">
        <v>141</v>
      </c>
      <c r="AB17" s="9"/>
      <c r="AC17" s="9"/>
      <c r="AD17" s="10"/>
      <c r="AE17" s="10"/>
      <c r="AF17" s="9"/>
      <c r="AH17">
        <f t="shared" si="0"/>
        <v>3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26" t="s">
        <v>114</v>
      </c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Planilha66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19</v>
      </c>
      <c r="B1" s="50">
        <f>A1/260</f>
        <v>7.3076923076923081E-2</v>
      </c>
      <c r="C1" s="50">
        <f>1-B1</f>
        <v>0.92692307692307696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90</v>
      </c>
      <c r="E3" s="4"/>
      <c r="F3" s="4"/>
      <c r="G3" s="4"/>
      <c r="H3" s="4"/>
      <c r="I3" s="4"/>
      <c r="J3" s="4"/>
      <c r="N3" t="s">
        <v>2</v>
      </c>
      <c r="O3" s="4"/>
      <c r="P3" s="24" t="s">
        <v>91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26" t="s">
        <v>114</v>
      </c>
      <c r="S8" s="9"/>
      <c r="T8" s="9"/>
      <c r="U8" s="26" t="s">
        <v>116</v>
      </c>
      <c r="V8" s="9"/>
      <c r="W8" s="10"/>
      <c r="X8" s="10"/>
      <c r="Y8" s="26" t="s">
        <v>116</v>
      </c>
      <c r="Z8" s="26" t="s">
        <v>116</v>
      </c>
      <c r="AA8" s="9"/>
      <c r="AB8" s="9"/>
      <c r="AC8" s="9"/>
      <c r="AD8" s="10"/>
      <c r="AE8" s="10"/>
      <c r="AF8" s="9"/>
      <c r="AH8">
        <f>COUNTA(B8:AF8)</f>
        <v>4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26" t="s">
        <v>142</v>
      </c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26" t="s">
        <v>125</v>
      </c>
      <c r="I10" s="9"/>
      <c r="J10" s="9"/>
      <c r="K10" s="9"/>
      <c r="L10" s="9"/>
      <c r="M10" s="10"/>
      <c r="N10" s="10"/>
      <c r="O10" s="9"/>
      <c r="P10" s="26" t="s">
        <v>142</v>
      </c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26" t="s">
        <v>114</v>
      </c>
      <c r="AF10" s="26" t="s">
        <v>116</v>
      </c>
      <c r="AH10">
        <f t="shared" si="0"/>
        <v>4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29" t="s">
        <v>177</v>
      </c>
      <c r="D12" s="16"/>
      <c r="E12" s="16"/>
      <c r="F12" s="9"/>
      <c r="G12" s="9"/>
      <c r="H12" s="10"/>
      <c r="I12" s="10"/>
      <c r="J12" s="26" t="s">
        <v>114</v>
      </c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2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26" t="s">
        <v>198</v>
      </c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26" t="s">
        <v>114</v>
      </c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26" t="s">
        <v>114</v>
      </c>
      <c r="J15" s="9"/>
      <c r="K15" s="9"/>
      <c r="L15" s="9"/>
      <c r="M15" s="9"/>
      <c r="N15" s="10"/>
      <c r="O15" s="10"/>
      <c r="P15" s="26" t="s">
        <v>178</v>
      </c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3">
      <c r="A17" s="19" t="s">
        <v>12</v>
      </c>
      <c r="B17" s="10"/>
      <c r="C17" s="10"/>
      <c r="D17" s="36" t="s">
        <v>114</v>
      </c>
      <c r="E17" s="36" t="s">
        <v>116</v>
      </c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26" t="s">
        <v>248</v>
      </c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114</v>
      </c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Planilha67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18</v>
      </c>
      <c r="B1" s="50">
        <f>A1/260</f>
        <v>6.9230769230769235E-2</v>
      </c>
      <c r="C1" s="50">
        <f>1-B1</f>
        <v>0.93076923076923079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92</v>
      </c>
      <c r="E3" s="4"/>
      <c r="F3" s="4"/>
      <c r="G3" s="4"/>
      <c r="H3" s="4"/>
      <c r="I3" s="4"/>
      <c r="J3" s="4"/>
      <c r="N3" t="s">
        <v>2</v>
      </c>
      <c r="O3" s="4"/>
      <c r="P3" s="24">
        <v>43178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26" t="s">
        <v>125</v>
      </c>
      <c r="F8" s="9"/>
      <c r="G8" s="26" t="s">
        <v>114</v>
      </c>
      <c r="H8" s="26" t="s">
        <v>114</v>
      </c>
      <c r="I8" s="10"/>
      <c r="J8" s="10"/>
      <c r="K8" s="9"/>
      <c r="L8" s="9"/>
      <c r="M8" s="9"/>
      <c r="N8" s="9"/>
      <c r="O8" s="9"/>
      <c r="P8" s="10"/>
      <c r="Q8" s="10"/>
      <c r="R8" s="26" t="s">
        <v>114</v>
      </c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4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26" t="s">
        <v>114</v>
      </c>
      <c r="P9" s="9"/>
      <c r="Q9" s="9"/>
      <c r="R9" s="9"/>
      <c r="S9" s="9"/>
      <c r="T9" s="10"/>
      <c r="U9" s="10"/>
      <c r="V9" s="26" t="s">
        <v>113</v>
      </c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26" t="s">
        <v>125</v>
      </c>
      <c r="W10" s="9"/>
      <c r="X10" s="9"/>
      <c r="Y10" s="9"/>
      <c r="Z10" s="9"/>
      <c r="AA10" s="10"/>
      <c r="AB10" s="10"/>
      <c r="AC10" s="9"/>
      <c r="AD10" s="9"/>
      <c r="AE10" s="9"/>
      <c r="AF10" s="26" t="s">
        <v>114</v>
      </c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26" t="s">
        <v>114</v>
      </c>
      <c r="K12" s="26" t="s">
        <v>116</v>
      </c>
      <c r="L12" s="26" t="s">
        <v>116</v>
      </c>
      <c r="M12" s="26" t="s">
        <v>116</v>
      </c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4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26" t="s">
        <v>114</v>
      </c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26" t="s">
        <v>178</v>
      </c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26" t="s">
        <v>113</v>
      </c>
      <c r="S17" s="26" t="s">
        <v>114</v>
      </c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26" t="s">
        <v>114</v>
      </c>
      <c r="P18" s="9"/>
      <c r="Q18" s="9"/>
      <c r="R18" s="26" t="s">
        <v>114</v>
      </c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Planilha68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11.1796875" customWidth="1"/>
    <col min="3" max="4" width="7.81640625" customWidth="1"/>
    <col min="5" max="5" width="7.453125" customWidth="1"/>
    <col min="6" max="6" width="8.1796875" customWidth="1"/>
    <col min="7" max="7" width="8" customWidth="1"/>
    <col min="8" max="8" width="12.453125" customWidth="1"/>
    <col min="9" max="9" width="7.81640625" customWidth="1"/>
    <col min="10" max="10" width="8.1796875" customWidth="1"/>
    <col min="11" max="11" width="8.453125" customWidth="1"/>
    <col min="12" max="13" width="8.54296875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18</v>
      </c>
      <c r="B1" s="50">
        <f>A1/260</f>
        <v>6.9230769230769235E-2</v>
      </c>
      <c r="C1" s="50">
        <f>1-B1</f>
        <v>0.93076923076923079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93</v>
      </c>
      <c r="E3" s="4"/>
      <c r="F3" s="4"/>
      <c r="G3" s="4"/>
      <c r="H3" s="4"/>
      <c r="I3" s="4"/>
      <c r="J3" s="4"/>
      <c r="N3" t="s">
        <v>2</v>
      </c>
      <c r="O3" s="4"/>
      <c r="P3" s="24">
        <v>38557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26" t="s">
        <v>113</v>
      </c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1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26" t="s">
        <v>114</v>
      </c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26" t="s">
        <v>114</v>
      </c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1</v>
      </c>
    </row>
    <row r="11" spans="1:34" ht="15.5" x14ac:dyDescent="0.25">
      <c r="A11" s="19" t="s">
        <v>6</v>
      </c>
      <c r="B11" s="16"/>
      <c r="C11" s="10"/>
      <c r="D11" s="10"/>
      <c r="E11" s="29" t="s">
        <v>113</v>
      </c>
      <c r="F11" s="26" t="s">
        <v>113</v>
      </c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26" t="s">
        <v>113</v>
      </c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26" t="s">
        <v>114</v>
      </c>
      <c r="AB14" s="26" t="s">
        <v>113</v>
      </c>
      <c r="AC14" s="9"/>
      <c r="AD14" s="9"/>
      <c r="AE14" s="10"/>
      <c r="AF14" s="10"/>
      <c r="AH14">
        <f t="shared" si="0"/>
        <v>2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26" t="s">
        <v>113</v>
      </c>
      <c r="K15" s="26" t="s">
        <v>113</v>
      </c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114</v>
      </c>
      <c r="X15" s="26" t="s">
        <v>210</v>
      </c>
      <c r="Y15" s="9"/>
      <c r="Z15" s="9"/>
      <c r="AA15" s="9"/>
      <c r="AB15" s="10"/>
      <c r="AC15" s="10"/>
      <c r="AD15" s="9"/>
      <c r="AE15" s="9"/>
      <c r="AF15" s="9"/>
      <c r="AH15">
        <f t="shared" si="0"/>
        <v>4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26" t="s">
        <v>113</v>
      </c>
      <c r="U16" s="26" t="s">
        <v>114</v>
      </c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26" t="s">
        <v>113</v>
      </c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26" t="s">
        <v>113</v>
      </c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26" t="s">
        <v>113</v>
      </c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26" t="s">
        <v>113</v>
      </c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Planilha69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18</v>
      </c>
      <c r="B1" s="50">
        <f>A1/260</f>
        <v>6.9230769230769235E-2</v>
      </c>
      <c r="C1" s="50">
        <f>1-B1</f>
        <v>0.93076923076923079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94</v>
      </c>
      <c r="E3" s="4"/>
      <c r="F3" s="4"/>
      <c r="G3" s="4"/>
      <c r="H3" s="4"/>
      <c r="I3" s="4"/>
      <c r="J3" s="4"/>
      <c r="N3" t="s">
        <v>2</v>
      </c>
      <c r="O3" s="4"/>
      <c r="P3" s="24">
        <v>43486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26" t="s">
        <v>112</v>
      </c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26" t="s">
        <v>125</v>
      </c>
      <c r="L10" s="9"/>
      <c r="M10" s="10"/>
      <c r="N10" s="10"/>
      <c r="O10" s="9"/>
      <c r="P10" s="26" t="s">
        <v>112</v>
      </c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29" t="s">
        <v>111</v>
      </c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26" t="s">
        <v>114</v>
      </c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26" t="s">
        <v>179</v>
      </c>
      <c r="K12" s="26" t="s">
        <v>113</v>
      </c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26" t="s">
        <v>190</v>
      </c>
      <c r="Z12" s="9"/>
      <c r="AA12" s="9"/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26" t="s">
        <v>113</v>
      </c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26" t="s">
        <v>181</v>
      </c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26" t="s">
        <v>184</v>
      </c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26" t="s">
        <v>188</v>
      </c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26" t="s">
        <v>167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42" t="s">
        <v>244</v>
      </c>
      <c r="C18" s="16"/>
      <c r="D18" s="28" t="s">
        <v>116</v>
      </c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26" t="s">
        <v>114</v>
      </c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3</v>
      </c>
    </row>
    <row r="19" spans="1:34" ht="15.5" x14ac:dyDescent="0.25">
      <c r="A19" s="19" t="s">
        <v>14</v>
      </c>
      <c r="B19" s="29" t="s">
        <v>253</v>
      </c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26" t="s">
        <v>140</v>
      </c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44607</v>
      </c>
      <c r="B23" s="51"/>
      <c r="C23" s="51"/>
      <c r="D23" s="16"/>
      <c r="E23" s="51"/>
      <c r="F23" s="51"/>
      <c r="G23" s="16"/>
      <c r="H23" s="6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44635</v>
      </c>
      <c r="B24" s="51"/>
      <c r="C24" s="51"/>
      <c r="D24" s="16"/>
      <c r="E24" s="51"/>
      <c r="F24" s="51"/>
      <c r="G24" s="16"/>
      <c r="H24" s="52" t="s">
        <v>120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H26:M26"/>
    <mergeCell ref="E28:F28"/>
    <mergeCell ref="H28:M28"/>
    <mergeCell ref="B28:C28"/>
    <mergeCell ref="B27:C27"/>
    <mergeCell ref="E27:F27"/>
    <mergeCell ref="H27:M27"/>
    <mergeCell ref="B26:C26"/>
    <mergeCell ref="E26:F26"/>
    <mergeCell ref="E25:F25"/>
    <mergeCell ref="H23:M23"/>
    <mergeCell ref="B24:C24"/>
    <mergeCell ref="E24:F24"/>
    <mergeCell ref="H25:M25"/>
    <mergeCell ref="H24:M24"/>
    <mergeCell ref="B25:C25"/>
    <mergeCell ref="B23:C23"/>
    <mergeCell ref="E23:F23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Planilha70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17</v>
      </c>
      <c r="B1" s="50">
        <f>A1/260</f>
        <v>6.5384615384615388E-2</v>
      </c>
      <c r="C1" s="50">
        <f>1-B1</f>
        <v>0.93461538461538463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236</v>
      </c>
      <c r="E3" s="4"/>
      <c r="F3" s="4"/>
      <c r="G3" s="4"/>
      <c r="H3" s="4"/>
      <c r="I3" s="4"/>
      <c r="J3" s="4"/>
      <c r="N3" t="s">
        <v>2</v>
      </c>
      <c r="O3" s="4"/>
      <c r="P3" s="24">
        <v>44865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 t="s">
        <v>118</v>
      </c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 t="s">
        <v>118</v>
      </c>
      <c r="L10" s="9"/>
      <c r="M10" s="10"/>
      <c r="N10" s="10"/>
      <c r="O10" s="9"/>
      <c r="P10" s="9" t="s">
        <v>118</v>
      </c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34" t="s">
        <v>118</v>
      </c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 t="s">
        <v>118</v>
      </c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 t="s">
        <v>118</v>
      </c>
      <c r="K12" s="9" t="s">
        <v>118</v>
      </c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 t="s">
        <v>118</v>
      </c>
      <c r="Z12" s="9"/>
      <c r="AA12" s="9"/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 t="s">
        <v>118</v>
      </c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 t="s">
        <v>118</v>
      </c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 t="s">
        <v>118</v>
      </c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 t="s">
        <v>118</v>
      </c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 t="s">
        <v>118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26" t="s">
        <v>114</v>
      </c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26" t="s">
        <v>175</v>
      </c>
      <c r="O19" s="26" t="s">
        <v>116</v>
      </c>
      <c r="P19" s="26" t="s">
        <v>116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3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Planilha71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14</v>
      </c>
      <c r="B1" s="50">
        <f>A1/260</f>
        <v>5.3846153846153849E-2</v>
      </c>
      <c r="C1" s="50">
        <f>1-B1</f>
        <v>0.94615384615384612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213</v>
      </c>
      <c r="E3" s="4"/>
      <c r="F3" s="4"/>
      <c r="G3" s="4"/>
      <c r="H3" s="4"/>
      <c r="I3" s="4"/>
      <c r="J3" s="4"/>
      <c r="N3" t="s">
        <v>2</v>
      </c>
      <c r="O3" s="4"/>
      <c r="P3" s="24">
        <v>44816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 t="s">
        <v>118</v>
      </c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 t="s">
        <v>118</v>
      </c>
      <c r="L10" s="9"/>
      <c r="M10" s="10"/>
      <c r="N10" s="10"/>
      <c r="O10" s="9"/>
      <c r="P10" s="9" t="s">
        <v>118</v>
      </c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34" t="s">
        <v>118</v>
      </c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 t="s">
        <v>118</v>
      </c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 t="s">
        <v>118</v>
      </c>
      <c r="K12" s="9" t="s">
        <v>118</v>
      </c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 t="s">
        <v>118</v>
      </c>
      <c r="Z12" s="9"/>
      <c r="AA12" s="9"/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 t="s">
        <v>118</v>
      </c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 t="s">
        <v>118</v>
      </c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 t="s">
        <v>118</v>
      </c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 t="s">
        <v>118</v>
      </c>
      <c r="J16" s="9"/>
      <c r="K16" s="10"/>
      <c r="L16" s="10"/>
      <c r="M16" s="9"/>
      <c r="N16" s="9"/>
      <c r="O16" s="26" t="s">
        <v>114</v>
      </c>
      <c r="P16" s="26" t="s">
        <v>116</v>
      </c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3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Planilha72"/>
  <dimension ref="A1:AH28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4</v>
      </c>
      <c r="B1" s="50">
        <f>A1/260</f>
        <v>1.5384615384615385E-2</v>
      </c>
      <c r="C1" s="50">
        <f>1-B1</f>
        <v>0.98461538461538467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94</v>
      </c>
      <c r="E3" s="4"/>
      <c r="F3" s="4"/>
      <c r="G3" s="4"/>
      <c r="H3" s="4"/>
      <c r="I3" s="4"/>
      <c r="J3" s="4"/>
      <c r="N3" t="s">
        <v>2</v>
      </c>
      <c r="O3" s="4"/>
      <c r="P3" s="24">
        <v>43486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34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26" t="s">
        <v>116</v>
      </c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26" t="s">
        <v>114</v>
      </c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26" t="s">
        <v>113</v>
      </c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3">
      <c r="A17" s="19" t="s">
        <v>12</v>
      </c>
      <c r="B17" s="10"/>
      <c r="C17" s="10"/>
      <c r="D17" s="16"/>
      <c r="E17" s="36" t="s">
        <v>114</v>
      </c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44691</v>
      </c>
      <c r="B23" s="51"/>
      <c r="C23" s="51"/>
      <c r="D23" s="16"/>
      <c r="E23" s="51"/>
      <c r="F23" s="51"/>
      <c r="G23" s="16"/>
      <c r="H23" s="62" t="s">
        <v>180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Planilha73"/>
  <dimension ref="A1:AH28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18</v>
      </c>
      <c r="B1" s="50">
        <f>A1/260</f>
        <v>6.9230769230769235E-2</v>
      </c>
      <c r="C1" s="50">
        <f>1-B1</f>
        <v>0.93076923076923079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156</v>
      </c>
      <c r="E3" s="4"/>
      <c r="F3" s="4"/>
      <c r="G3" s="4"/>
      <c r="H3" s="4"/>
      <c r="I3" s="4"/>
      <c r="J3" s="4"/>
      <c r="N3" t="s">
        <v>2</v>
      </c>
      <c r="O3" s="4"/>
      <c r="P3" s="24">
        <v>44669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26" t="s">
        <v>116</v>
      </c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28" t="s">
        <v>178</v>
      </c>
      <c r="D13" s="16"/>
      <c r="E13" s="10"/>
      <c r="F13" s="10"/>
      <c r="G13" s="26" t="s">
        <v>114</v>
      </c>
      <c r="H13" s="26" t="s">
        <v>116</v>
      </c>
      <c r="I13" s="26" t="s">
        <v>116</v>
      </c>
      <c r="J13" s="26" t="s">
        <v>116</v>
      </c>
      <c r="K13" s="9"/>
      <c r="L13" s="10"/>
      <c r="M13" s="10"/>
      <c r="N13" s="26" t="s">
        <v>175</v>
      </c>
      <c r="O13" s="26" t="s">
        <v>116</v>
      </c>
      <c r="P13" s="26" t="s">
        <v>116</v>
      </c>
      <c r="Q13" s="26" t="s">
        <v>116</v>
      </c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9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9"/>
      <c r="W14" s="9"/>
      <c r="X14" s="10"/>
      <c r="Y14" s="10"/>
      <c r="Z14" s="26" t="s">
        <v>114</v>
      </c>
      <c r="AA14" s="26" t="s">
        <v>116</v>
      </c>
      <c r="AB14" s="9"/>
      <c r="AC14" s="9"/>
      <c r="AD14" s="9"/>
      <c r="AE14" s="10"/>
      <c r="AF14" s="10"/>
      <c r="AH14">
        <f t="shared" si="0"/>
        <v>2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26" t="s">
        <v>113</v>
      </c>
      <c r="J15" s="26" t="s">
        <v>113</v>
      </c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26" t="s">
        <v>114</v>
      </c>
      <c r="Y15" s="9"/>
      <c r="Z15" s="9"/>
      <c r="AA15" s="9"/>
      <c r="AB15" s="10"/>
      <c r="AC15" s="10"/>
      <c r="AD15" s="9"/>
      <c r="AE15" s="9"/>
      <c r="AF15" s="9"/>
      <c r="AH15">
        <f t="shared" si="0"/>
        <v>3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26" t="s">
        <v>113</v>
      </c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26" t="s">
        <v>114</v>
      </c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28" t="s">
        <v>114</v>
      </c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44719</v>
      </c>
      <c r="B23" s="51"/>
      <c r="C23" s="51"/>
      <c r="D23" s="16"/>
      <c r="E23" s="51"/>
      <c r="F23" s="51"/>
      <c r="G23" s="16"/>
      <c r="H23" s="62" t="s">
        <v>194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44866</v>
      </c>
      <c r="B24" s="51"/>
      <c r="C24" s="51"/>
      <c r="D24" s="16"/>
      <c r="E24" s="51"/>
      <c r="F24" s="51"/>
      <c r="G24" s="16"/>
      <c r="H24" s="52" t="s">
        <v>245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Planilha74"/>
  <dimension ref="A1:AH28"/>
  <sheetViews>
    <sheetView workbookViewId="0">
      <selection activeCell="AR51" sqref="AR51"/>
    </sheetView>
  </sheetViews>
  <sheetFormatPr defaultRowHeight="12.5" x14ac:dyDescent="0.25"/>
  <cols>
    <col min="16" max="16" width="10.1796875" bestFit="1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19</v>
      </c>
      <c r="B1" s="50">
        <f>A1/260</f>
        <v>7.3076923076923081E-2</v>
      </c>
      <c r="C1" s="50">
        <f>1-B1</f>
        <v>0.92692307692307696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237</v>
      </c>
      <c r="E3" s="4"/>
      <c r="F3" s="4"/>
      <c r="G3" s="4"/>
      <c r="H3" s="4"/>
      <c r="I3" s="4"/>
      <c r="J3" s="4"/>
      <c r="N3" t="s">
        <v>2</v>
      </c>
      <c r="O3" s="4"/>
      <c r="P3" s="24">
        <v>44865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 t="s">
        <v>118</v>
      </c>
      <c r="S8" s="9"/>
      <c r="T8" s="9"/>
      <c r="U8" s="9"/>
      <c r="V8" s="9"/>
      <c r="W8" s="10"/>
      <c r="X8" s="10"/>
      <c r="Y8" s="9"/>
      <c r="Z8" s="9" t="s">
        <v>112</v>
      </c>
      <c r="AA8" s="9"/>
      <c r="AB8" s="9"/>
      <c r="AC8" s="9"/>
      <c r="AD8" s="10"/>
      <c r="AE8" s="10"/>
      <c r="AF8" s="9"/>
      <c r="AH8">
        <f>COUNTA(B8:AF8)</f>
        <v>2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 t="s">
        <v>118</v>
      </c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34" t="s">
        <v>118</v>
      </c>
      <c r="D10" s="16"/>
      <c r="E10" s="16"/>
      <c r="F10" s="10"/>
      <c r="G10" s="10"/>
      <c r="H10" s="9"/>
      <c r="I10" s="9"/>
      <c r="J10" s="9" t="s">
        <v>118</v>
      </c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 t="s">
        <v>118</v>
      </c>
      <c r="G14" s="9" t="s">
        <v>118</v>
      </c>
      <c r="H14" s="9" t="s">
        <v>118</v>
      </c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 t="s">
        <v>118</v>
      </c>
      <c r="X15" s="9" t="s">
        <v>118</v>
      </c>
      <c r="Y15" s="9" t="s">
        <v>118</v>
      </c>
      <c r="Z15" s="9" t="s">
        <v>118</v>
      </c>
      <c r="AA15" s="9"/>
      <c r="AB15" s="10"/>
      <c r="AC15" s="10"/>
      <c r="AD15" s="9" t="s">
        <v>118</v>
      </c>
      <c r="AE15" s="9" t="s">
        <v>118</v>
      </c>
      <c r="AF15" s="9" t="s">
        <v>118</v>
      </c>
      <c r="AH15">
        <f t="shared" si="0"/>
        <v>7</v>
      </c>
    </row>
    <row r="16" spans="1:34" ht="15.5" x14ac:dyDescent="0.25">
      <c r="A16" s="19" t="s">
        <v>11</v>
      </c>
      <c r="B16" s="34" t="s">
        <v>118</v>
      </c>
      <c r="C16" s="16"/>
      <c r="D16" s="10"/>
      <c r="E16" s="10"/>
      <c r="F16" s="9"/>
      <c r="G16" s="9" t="s">
        <v>118</v>
      </c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46" t="s">
        <v>118</v>
      </c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 t="s">
        <v>118</v>
      </c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44586</v>
      </c>
      <c r="B23" s="51"/>
      <c r="C23" s="51"/>
      <c r="D23" s="16"/>
      <c r="E23" s="51"/>
      <c r="F23" s="51"/>
      <c r="G23" s="16"/>
      <c r="H23" s="6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Planilha75"/>
  <dimension ref="A1:AH28"/>
  <sheetViews>
    <sheetView workbookViewId="0">
      <selection activeCell="AR51" sqref="AR51"/>
    </sheetView>
  </sheetViews>
  <sheetFormatPr defaultRowHeight="12.5" x14ac:dyDescent="0.25"/>
  <cols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19</v>
      </c>
      <c r="B1" s="50">
        <f>A1/260</f>
        <v>7.3076923076923081E-2</v>
      </c>
      <c r="C1" s="50">
        <f>1-B1</f>
        <v>0.92692307692307696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95</v>
      </c>
      <c r="E3" s="4"/>
      <c r="F3" s="4"/>
      <c r="G3" s="4"/>
      <c r="H3" s="4"/>
      <c r="I3" s="4"/>
      <c r="J3" s="4"/>
      <c r="N3" t="s">
        <v>2</v>
      </c>
      <c r="O3" s="4"/>
      <c r="P3" s="24" t="s">
        <v>96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 t="s">
        <v>114</v>
      </c>
      <c r="S8" s="9"/>
      <c r="T8" s="9"/>
      <c r="U8" s="9"/>
      <c r="V8" s="9"/>
      <c r="W8" s="10"/>
      <c r="X8" s="10"/>
      <c r="Y8" s="9"/>
      <c r="Z8" s="9" t="s">
        <v>112</v>
      </c>
      <c r="AA8" s="9"/>
      <c r="AB8" s="9"/>
      <c r="AC8" s="9"/>
      <c r="AD8" s="10"/>
      <c r="AE8" s="10"/>
      <c r="AF8" s="9"/>
      <c r="AH8">
        <f>COUNTA(B8:AF8)</f>
        <v>2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 t="s">
        <v>125</v>
      </c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34" t="s">
        <v>114</v>
      </c>
      <c r="D10" s="16"/>
      <c r="E10" s="16"/>
      <c r="F10" s="10"/>
      <c r="G10" s="10"/>
      <c r="H10" s="9"/>
      <c r="I10" s="9"/>
      <c r="J10" s="9" t="s">
        <v>125</v>
      </c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26" t="s">
        <v>113</v>
      </c>
      <c r="G14" s="26" t="s">
        <v>113</v>
      </c>
      <c r="H14" s="26" t="s">
        <v>113</v>
      </c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113</v>
      </c>
      <c r="X15" s="26" t="s">
        <v>113</v>
      </c>
      <c r="Y15" s="26" t="s">
        <v>116</v>
      </c>
      <c r="Z15" s="26" t="s">
        <v>116</v>
      </c>
      <c r="AA15" s="9"/>
      <c r="AB15" s="10"/>
      <c r="AC15" s="10"/>
      <c r="AD15" s="26" t="s">
        <v>113</v>
      </c>
      <c r="AE15" s="26" t="s">
        <v>113</v>
      </c>
      <c r="AF15" s="26" t="s">
        <v>116</v>
      </c>
      <c r="AH15">
        <f t="shared" si="0"/>
        <v>7</v>
      </c>
    </row>
    <row r="16" spans="1:34" ht="15.5" x14ac:dyDescent="0.25">
      <c r="A16" s="19" t="s">
        <v>11</v>
      </c>
      <c r="B16" s="29" t="s">
        <v>114</v>
      </c>
      <c r="C16" s="16"/>
      <c r="D16" s="10"/>
      <c r="E16" s="10"/>
      <c r="F16" s="9"/>
      <c r="G16" s="26" t="s">
        <v>114</v>
      </c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42" t="s">
        <v>178</v>
      </c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26" t="s">
        <v>114</v>
      </c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44586</v>
      </c>
      <c r="B23" s="51"/>
      <c r="C23" s="51"/>
      <c r="D23" s="16"/>
      <c r="E23" s="51"/>
      <c r="F23" s="51"/>
      <c r="G23" s="16"/>
      <c r="H23" s="6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Planilha76"/>
  <dimension ref="A1:AH34"/>
  <sheetViews>
    <sheetView workbookViewId="0">
      <selection activeCell="AR51" sqref="AR51"/>
    </sheetView>
  </sheetViews>
  <sheetFormatPr defaultRowHeight="12.5" x14ac:dyDescent="0.25"/>
  <cols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17</v>
      </c>
      <c r="B1" s="50">
        <f>A1/260</f>
        <v>6.5384615384615388E-2</v>
      </c>
      <c r="C1" s="50">
        <f>1-B1</f>
        <v>0.93461538461538463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97</v>
      </c>
      <c r="E3" s="4"/>
      <c r="F3" s="4"/>
      <c r="G3" s="4"/>
      <c r="H3" s="4"/>
      <c r="I3" s="4"/>
      <c r="J3" s="4"/>
      <c r="N3" t="s">
        <v>2</v>
      </c>
      <c r="O3" s="4"/>
      <c r="P3" s="24">
        <v>44158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26" t="s">
        <v>114</v>
      </c>
      <c r="I8" s="10"/>
      <c r="J8" s="10"/>
      <c r="K8" s="9"/>
      <c r="L8" s="9"/>
      <c r="M8" s="26" t="s">
        <v>125</v>
      </c>
      <c r="N8" s="9"/>
      <c r="O8" s="9"/>
      <c r="P8" s="10"/>
      <c r="Q8" s="10"/>
      <c r="R8" s="9"/>
      <c r="S8" s="9"/>
      <c r="T8" s="26" t="s">
        <v>112</v>
      </c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3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26" t="s">
        <v>158</v>
      </c>
      <c r="AD9" s="22"/>
      <c r="AE9" s="22"/>
      <c r="AF9" s="22"/>
      <c r="AH9">
        <f t="shared" ref="AH9:AH19" si="0">COUNTA(B9:AF9)</f>
        <v>1</v>
      </c>
    </row>
    <row r="10" spans="1:34" ht="15.5" x14ac:dyDescent="0.35">
      <c r="A10" s="19" t="s">
        <v>5</v>
      </c>
      <c r="B10" s="16"/>
      <c r="C10" s="16"/>
      <c r="D10" s="30" t="s">
        <v>112</v>
      </c>
      <c r="E10" s="16"/>
      <c r="F10" s="10"/>
      <c r="G10" s="10"/>
      <c r="H10" s="9"/>
      <c r="I10" s="9"/>
      <c r="J10" s="9"/>
      <c r="K10" s="9"/>
      <c r="L10" s="9"/>
      <c r="M10" s="10"/>
      <c r="N10" s="10"/>
      <c r="O10" s="26" t="s">
        <v>114</v>
      </c>
      <c r="P10" s="9"/>
      <c r="Q10" s="9"/>
      <c r="R10" s="9"/>
      <c r="S10" s="9"/>
      <c r="T10" s="10"/>
      <c r="U10" s="10"/>
      <c r="V10" s="9"/>
      <c r="W10" s="9"/>
      <c r="X10" s="9"/>
      <c r="Y10" s="26" t="s">
        <v>112</v>
      </c>
      <c r="Z10" s="9"/>
      <c r="AA10" s="10"/>
      <c r="AB10" s="10"/>
      <c r="AC10" s="26" t="s">
        <v>112</v>
      </c>
      <c r="AD10" s="9"/>
      <c r="AE10" s="9"/>
      <c r="AF10" s="9"/>
      <c r="AH10">
        <f t="shared" si="0"/>
        <v>4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26" t="s">
        <v>113</v>
      </c>
      <c r="V11" s="26" t="s">
        <v>113</v>
      </c>
      <c r="W11" s="9"/>
      <c r="X11" s="10"/>
      <c r="Y11" s="10"/>
      <c r="Z11" s="26" t="s">
        <v>114</v>
      </c>
      <c r="AA11" s="26" t="s">
        <v>121</v>
      </c>
      <c r="AB11" s="26" t="s">
        <v>116</v>
      </c>
      <c r="AC11" s="9"/>
      <c r="AD11" s="9"/>
      <c r="AE11" s="10"/>
      <c r="AF11" s="22"/>
      <c r="AH11">
        <f t="shared" si="0"/>
        <v>5</v>
      </c>
    </row>
    <row r="12" spans="1:34" ht="15.5" x14ac:dyDescent="0.3">
      <c r="A12" s="19" t="s">
        <v>7</v>
      </c>
      <c r="B12" s="16"/>
      <c r="C12" s="36" t="s">
        <v>114</v>
      </c>
      <c r="D12" s="16"/>
      <c r="E12" s="16"/>
      <c r="F12" s="26" t="s">
        <v>178</v>
      </c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26" t="s">
        <v>175</v>
      </c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26" t="s">
        <v>116</v>
      </c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44713</v>
      </c>
      <c r="B23" s="51"/>
      <c r="C23" s="51"/>
      <c r="D23" s="16"/>
      <c r="E23" s="51" t="s">
        <v>164</v>
      </c>
      <c r="F23" s="51"/>
      <c r="G23" s="16"/>
      <c r="H23" s="52" t="s">
        <v>154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44732</v>
      </c>
      <c r="B24" s="51"/>
      <c r="C24" s="51"/>
      <c r="D24" s="16"/>
      <c r="E24" s="51"/>
      <c r="F24" s="51"/>
      <c r="G24" s="16"/>
      <c r="H24" s="62" t="s">
        <v>194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6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/>
      <c r="B26" s="51"/>
      <c r="C26" s="51"/>
      <c r="D26" s="16"/>
      <c r="E26" s="51"/>
      <c r="F26" s="51"/>
      <c r="G26" s="16"/>
      <c r="H26" s="62"/>
      <c r="I26" s="53"/>
      <c r="J26" s="53"/>
      <c r="K26" s="53"/>
      <c r="L26" s="53"/>
      <c r="M26" s="54"/>
      <c r="N26" s="20" t="s">
        <v>31</v>
      </c>
    </row>
    <row r="27" spans="1:34" x14ac:dyDescent="0.25">
      <c r="A27" s="25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29" spans="1:34" x14ac:dyDescent="0.25">
      <c r="A29" s="25" t="s">
        <v>118</v>
      </c>
      <c r="B29" s="51"/>
      <c r="C29" s="51"/>
      <c r="D29" s="16"/>
      <c r="E29" s="51"/>
      <c r="F29" s="51"/>
      <c r="G29" s="16"/>
      <c r="H29" s="52" t="s">
        <v>118</v>
      </c>
      <c r="I29" s="53"/>
      <c r="J29" s="53"/>
      <c r="K29" s="53"/>
      <c r="L29" s="53"/>
      <c r="M29" s="54"/>
    </row>
    <row r="30" spans="1:34" x14ac:dyDescent="0.25">
      <c r="A30" s="17"/>
      <c r="B30" s="51"/>
      <c r="C30" s="51"/>
      <c r="D30" s="16"/>
      <c r="E30" s="51"/>
      <c r="F30" s="51"/>
      <c r="G30" s="16"/>
      <c r="H30" s="52"/>
      <c r="I30" s="53"/>
      <c r="J30" s="53"/>
      <c r="K30" s="53"/>
      <c r="L30" s="53"/>
      <c r="M30" s="54"/>
    </row>
    <row r="31" spans="1:34" x14ac:dyDescent="0.25">
      <c r="A31" s="25" t="s">
        <v>118</v>
      </c>
      <c r="B31" s="51"/>
      <c r="C31" s="51"/>
      <c r="D31" s="16"/>
      <c r="E31" s="51"/>
      <c r="F31" s="51"/>
      <c r="G31" s="16"/>
      <c r="H31" s="52" t="s">
        <v>118</v>
      </c>
      <c r="I31" s="53"/>
      <c r="J31" s="53"/>
      <c r="K31" s="53"/>
      <c r="L31" s="53"/>
      <c r="M31" s="54"/>
    </row>
    <row r="32" spans="1:34" x14ac:dyDescent="0.25">
      <c r="A32" s="17"/>
      <c r="B32" s="51"/>
      <c r="C32" s="51"/>
      <c r="D32" s="16"/>
      <c r="E32" s="51"/>
      <c r="F32" s="51"/>
      <c r="G32" s="16"/>
      <c r="H32" s="52"/>
      <c r="I32" s="53"/>
      <c r="J32" s="53"/>
      <c r="K32" s="53"/>
      <c r="L32" s="53"/>
      <c r="M32" s="54"/>
    </row>
    <row r="33" spans="1:13" x14ac:dyDescent="0.25">
      <c r="A33" s="25" t="s">
        <v>118</v>
      </c>
      <c r="B33" s="51"/>
      <c r="C33" s="51"/>
      <c r="D33" s="16"/>
      <c r="E33" s="51"/>
      <c r="F33" s="51"/>
      <c r="G33" s="16"/>
      <c r="H33" s="52" t="s">
        <v>118</v>
      </c>
      <c r="I33" s="53"/>
      <c r="J33" s="53"/>
      <c r="K33" s="53"/>
      <c r="L33" s="53"/>
      <c r="M33" s="54"/>
    </row>
    <row r="34" spans="1:13" x14ac:dyDescent="0.25">
      <c r="A34" s="17"/>
      <c r="B34" s="51"/>
      <c r="C34" s="51"/>
      <c r="D34" s="16"/>
      <c r="E34" s="51"/>
      <c r="F34" s="51"/>
      <c r="G34" s="16"/>
      <c r="H34" s="52"/>
      <c r="I34" s="53"/>
      <c r="J34" s="53"/>
      <c r="K34" s="53"/>
      <c r="L34" s="53"/>
      <c r="M34" s="54"/>
    </row>
  </sheetData>
  <mergeCells count="42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  <mergeCell ref="B29:C29"/>
    <mergeCell ref="E29:F29"/>
    <mergeCell ref="H29:M29"/>
    <mergeCell ref="B30:C30"/>
    <mergeCell ref="E30:F30"/>
    <mergeCell ref="H30:M30"/>
    <mergeCell ref="B31:C31"/>
    <mergeCell ref="E31:F31"/>
    <mergeCell ref="H31:M31"/>
    <mergeCell ref="B32:C32"/>
    <mergeCell ref="E32:F32"/>
    <mergeCell ref="H32:M32"/>
    <mergeCell ref="B33:C33"/>
    <mergeCell ref="E33:F33"/>
    <mergeCell ref="H33:M33"/>
    <mergeCell ref="B34:C34"/>
    <mergeCell ref="E34:F34"/>
    <mergeCell ref="H34:M34"/>
  </mergeCell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Planilha77"/>
  <dimension ref="A1:AH28"/>
  <sheetViews>
    <sheetView workbookViewId="0">
      <selection activeCell="AR51" sqref="AR51"/>
    </sheetView>
  </sheetViews>
  <sheetFormatPr defaultRowHeight="12.5" x14ac:dyDescent="0.25"/>
  <cols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18</v>
      </c>
      <c r="B1" s="50">
        <f>A1/260</f>
        <v>6.9230769230769235E-2</v>
      </c>
      <c r="C1" s="50">
        <f>1-B1</f>
        <v>0.93076923076923079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98</v>
      </c>
      <c r="E3" s="4"/>
      <c r="F3" s="4"/>
      <c r="G3" s="4"/>
      <c r="H3" s="4"/>
      <c r="I3" s="4"/>
      <c r="J3" s="4"/>
      <c r="N3" t="s">
        <v>2</v>
      </c>
      <c r="O3" s="4"/>
      <c r="P3" s="24">
        <v>42765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26" t="s">
        <v>111</v>
      </c>
      <c r="F8" s="26" t="s">
        <v>116</v>
      </c>
      <c r="G8" s="26" t="s">
        <v>116</v>
      </c>
      <c r="H8" s="9"/>
      <c r="I8" s="10"/>
      <c r="J8" s="10"/>
      <c r="K8" s="9"/>
      <c r="L8" s="26" t="s">
        <v>142</v>
      </c>
      <c r="M8" s="9"/>
      <c r="N8" s="9"/>
      <c r="O8" s="9"/>
      <c r="P8" s="10"/>
      <c r="Q8" s="10"/>
      <c r="R8" s="26" t="s">
        <v>125</v>
      </c>
      <c r="S8" s="26" t="s">
        <v>112</v>
      </c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6</v>
      </c>
    </row>
    <row r="9" spans="1:34" ht="15.5" x14ac:dyDescent="0.25">
      <c r="A9" s="19" t="s">
        <v>4</v>
      </c>
      <c r="B9" s="16"/>
      <c r="C9" s="33" t="s">
        <v>142</v>
      </c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33" t="s">
        <v>112</v>
      </c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1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26" t="s">
        <v>113</v>
      </c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26" t="s">
        <v>113</v>
      </c>
      <c r="G14" s="26" t="s">
        <v>113</v>
      </c>
      <c r="H14" s="26" t="s">
        <v>113</v>
      </c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113</v>
      </c>
      <c r="X15" s="26" t="s">
        <v>113</v>
      </c>
      <c r="Y15" s="26" t="s">
        <v>113</v>
      </c>
      <c r="Z15" s="26" t="s">
        <v>113</v>
      </c>
      <c r="AA15" s="9"/>
      <c r="AB15" s="10"/>
      <c r="AC15" s="10"/>
      <c r="AD15" s="9"/>
      <c r="AE15" s="9"/>
      <c r="AF15" s="9"/>
      <c r="AH15">
        <f t="shared" si="0"/>
        <v>4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26" t="s">
        <v>175</v>
      </c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46"/>
      <c r="E17" s="46"/>
      <c r="F17" s="9"/>
      <c r="G17" s="9"/>
      <c r="H17" s="9"/>
      <c r="I17" s="10"/>
      <c r="J17" s="10"/>
      <c r="K17" s="26" t="s">
        <v>114</v>
      </c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44579</v>
      </c>
      <c r="B23" s="51"/>
      <c r="C23" s="51"/>
      <c r="D23" s="16"/>
      <c r="E23" s="51"/>
      <c r="F23" s="51"/>
      <c r="G23" s="16"/>
      <c r="H23" s="6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44623</v>
      </c>
      <c r="B24" s="51"/>
      <c r="C24" s="51"/>
      <c r="D24" s="16"/>
      <c r="E24" s="51"/>
      <c r="F24" s="51"/>
      <c r="G24" s="16"/>
      <c r="H24" s="62" t="s">
        <v>129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Planilha78"/>
  <dimension ref="A1:AH28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28</v>
      </c>
      <c r="B1" s="50">
        <f>A1/260</f>
        <v>0.1076923076923077</v>
      </c>
      <c r="C1" s="50">
        <f>1-B1</f>
        <v>0.89230769230769225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193</v>
      </c>
      <c r="E3" s="4"/>
      <c r="F3" s="4"/>
      <c r="G3" s="4"/>
      <c r="H3" s="4"/>
      <c r="I3" s="4"/>
      <c r="J3" s="4"/>
      <c r="N3" t="s">
        <v>2</v>
      </c>
      <c r="O3" s="4"/>
      <c r="P3" s="24">
        <v>44697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40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40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26" t="s">
        <v>114</v>
      </c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26" t="s">
        <v>114</v>
      </c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26" t="s">
        <v>175</v>
      </c>
      <c r="R15" s="26" t="s">
        <v>116</v>
      </c>
      <c r="S15" s="26" t="s">
        <v>178</v>
      </c>
      <c r="T15" s="9"/>
      <c r="U15" s="10"/>
      <c r="V15" s="10"/>
      <c r="W15" s="26" t="s">
        <v>114</v>
      </c>
      <c r="X15" s="9"/>
      <c r="Y15" s="26" t="s">
        <v>178</v>
      </c>
      <c r="Z15" s="9"/>
      <c r="AA15" s="9"/>
      <c r="AB15" s="10"/>
      <c r="AC15" s="10"/>
      <c r="AD15" s="9"/>
      <c r="AE15" s="26" t="s">
        <v>175</v>
      </c>
      <c r="AF15" s="9"/>
      <c r="AH15">
        <f t="shared" si="0"/>
        <v>6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26" t="s">
        <v>178</v>
      </c>
      <c r="H16" s="9"/>
      <c r="I16" s="26" t="s">
        <v>114</v>
      </c>
      <c r="J16" s="9"/>
      <c r="K16" s="10"/>
      <c r="L16" s="10"/>
      <c r="M16" s="9"/>
      <c r="N16" s="9"/>
      <c r="O16" s="9"/>
      <c r="P16" s="9"/>
      <c r="Q16" s="9"/>
      <c r="R16" s="10"/>
      <c r="S16" s="10"/>
      <c r="T16" s="26" t="s">
        <v>114</v>
      </c>
      <c r="U16" s="9"/>
      <c r="V16" s="9"/>
      <c r="W16" s="9"/>
      <c r="X16" s="9"/>
      <c r="Y16" s="10"/>
      <c r="Z16" s="10"/>
      <c r="AA16" s="9"/>
      <c r="AB16" s="26" t="s">
        <v>114</v>
      </c>
      <c r="AC16" s="9"/>
      <c r="AD16" s="9"/>
      <c r="AE16" s="9"/>
      <c r="AF16" s="22"/>
      <c r="AH16">
        <f t="shared" si="0"/>
        <v>4</v>
      </c>
    </row>
    <row r="17" spans="1:34" ht="15.5" x14ac:dyDescent="0.25">
      <c r="A17" s="19" t="s">
        <v>12</v>
      </c>
      <c r="B17" s="10"/>
      <c r="C17" s="10"/>
      <c r="D17" s="42" t="s">
        <v>178</v>
      </c>
      <c r="E17" s="42" t="s">
        <v>114</v>
      </c>
      <c r="F17" s="9"/>
      <c r="G17" s="26" t="s">
        <v>116</v>
      </c>
      <c r="H17" s="9"/>
      <c r="I17" s="10"/>
      <c r="J17" s="10"/>
      <c r="K17" s="9"/>
      <c r="L17" s="9"/>
      <c r="M17" s="9"/>
      <c r="N17" s="9"/>
      <c r="O17" s="9"/>
      <c r="P17" s="10"/>
      <c r="Q17" s="10"/>
      <c r="R17" s="26" t="s">
        <v>114</v>
      </c>
      <c r="S17" s="26" t="s">
        <v>116</v>
      </c>
      <c r="T17" s="26" t="s">
        <v>116</v>
      </c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6</v>
      </c>
    </row>
    <row r="18" spans="1:34" ht="15.5" x14ac:dyDescent="0.25">
      <c r="A18" s="19" t="s">
        <v>13</v>
      </c>
      <c r="B18" s="42" t="s">
        <v>239</v>
      </c>
      <c r="C18" s="16"/>
      <c r="D18" s="16"/>
      <c r="E18" s="16"/>
      <c r="F18" s="10"/>
      <c r="G18" s="10"/>
      <c r="H18" s="26" t="s">
        <v>114</v>
      </c>
      <c r="I18" s="26" t="s">
        <v>116</v>
      </c>
      <c r="J18" s="9"/>
      <c r="K18" s="9"/>
      <c r="L18" s="9"/>
      <c r="M18" s="10"/>
      <c r="N18" s="10"/>
      <c r="O18" s="9"/>
      <c r="P18" s="26" t="s">
        <v>114</v>
      </c>
      <c r="Q18" s="9"/>
      <c r="R18" s="9"/>
      <c r="S18" s="9"/>
      <c r="T18" s="10"/>
      <c r="U18" s="10"/>
      <c r="V18" s="26" t="s">
        <v>116</v>
      </c>
      <c r="W18" s="26" t="s">
        <v>116</v>
      </c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6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26" t="s">
        <v>239</v>
      </c>
      <c r="I19" s="26" t="s">
        <v>239</v>
      </c>
      <c r="J19" s="9"/>
      <c r="K19" s="10"/>
      <c r="L19" s="10"/>
      <c r="M19" s="26" t="s">
        <v>239</v>
      </c>
      <c r="N19" s="26" t="s">
        <v>257</v>
      </c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4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44854</v>
      </c>
      <c r="B23" s="51"/>
      <c r="C23" s="51"/>
      <c r="D23" s="16"/>
      <c r="E23" s="51"/>
      <c r="F23" s="51"/>
      <c r="G23" s="16"/>
      <c r="H23" s="62" t="s">
        <v>254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62"/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Planilha79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12</v>
      </c>
      <c r="B1" s="50">
        <f>A1/260</f>
        <v>4.6153846153846156E-2</v>
      </c>
      <c r="C1" s="50">
        <f>1-B1</f>
        <v>0.95384615384615379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99</v>
      </c>
      <c r="E3" s="4"/>
      <c r="F3" s="4"/>
      <c r="G3" s="4"/>
      <c r="H3" s="4"/>
      <c r="I3" s="4"/>
      <c r="J3" s="4"/>
      <c r="N3" t="s">
        <v>2</v>
      </c>
      <c r="O3" s="4"/>
      <c r="P3" s="24">
        <v>44606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26" t="s">
        <v>112</v>
      </c>
      <c r="Y9" s="9"/>
      <c r="Z9" s="9"/>
      <c r="AA9" s="10"/>
      <c r="AB9" s="10"/>
      <c r="AC9" s="26" t="s">
        <v>111</v>
      </c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33" t="s">
        <v>116</v>
      </c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26" t="s">
        <v>114</v>
      </c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26" t="s">
        <v>179</v>
      </c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26" t="s">
        <v>114</v>
      </c>
      <c r="Y15" s="26" t="s">
        <v>116</v>
      </c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26" t="s">
        <v>114</v>
      </c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26" t="s">
        <v>178</v>
      </c>
      <c r="S18" s="9"/>
      <c r="T18" s="10"/>
      <c r="U18" s="10"/>
      <c r="V18" s="9"/>
      <c r="W18" s="26" t="s">
        <v>179</v>
      </c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26" t="s">
        <v>114</v>
      </c>
      <c r="G19" s="9"/>
      <c r="H19" s="9"/>
      <c r="I19" s="9"/>
      <c r="J19" s="9"/>
      <c r="K19" s="10"/>
      <c r="L19" s="10"/>
      <c r="M19" s="9"/>
      <c r="N19" s="26" t="s">
        <v>113</v>
      </c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44615</v>
      </c>
      <c r="B23" s="51"/>
      <c r="C23" s="51"/>
      <c r="D23" s="16"/>
      <c r="E23" s="51"/>
      <c r="F23" s="51"/>
      <c r="G23" s="16"/>
      <c r="H23" s="62" t="s">
        <v>168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Planilha80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8.453125" customWidth="1"/>
    <col min="3" max="3" width="9.1796875" customWidth="1"/>
    <col min="4" max="4" width="7.453125" customWidth="1"/>
    <col min="5" max="5" width="7.54296875" customWidth="1"/>
    <col min="6" max="6" width="7.81640625" customWidth="1"/>
    <col min="7" max="7" width="7.54296875" customWidth="1"/>
    <col min="8" max="8" width="8.54296875" customWidth="1"/>
    <col min="9" max="9" width="7.81640625" customWidth="1"/>
    <col min="10" max="10" width="8" customWidth="1"/>
    <col min="11" max="11" width="7.54296875" customWidth="1"/>
    <col min="12" max="12" width="8.1796875" customWidth="1"/>
    <col min="13" max="13" width="7.453125" customWidth="1"/>
    <col min="14" max="14" width="7.1796875" customWidth="1"/>
    <col min="15" max="15" width="11.54296875" customWidth="1"/>
    <col min="16" max="16" width="8" customWidth="1"/>
    <col min="17" max="17" width="7.81640625" customWidth="1"/>
    <col min="18" max="18" width="8.453125" customWidth="1"/>
    <col min="19" max="19" width="7.81640625" customWidth="1"/>
    <col min="20" max="20" width="8" customWidth="1"/>
    <col min="21" max="22" width="8.81640625" customWidth="1"/>
    <col min="23" max="23" width="8.1796875" customWidth="1"/>
    <col min="24" max="24" width="7.81640625" customWidth="1"/>
    <col min="25" max="25" width="8.54296875" customWidth="1"/>
    <col min="26" max="26" width="7.81640625" customWidth="1"/>
    <col min="27" max="28" width="7.1796875" customWidth="1"/>
    <col min="29" max="29" width="7.453125" customWidth="1"/>
    <col min="30" max="30" width="7.81640625" customWidth="1"/>
    <col min="31" max="31" width="8.1796875" customWidth="1"/>
    <col min="32" max="32" width="9.1796875" customWidth="1"/>
  </cols>
  <sheetData>
    <row r="1" spans="1:34" ht="18" x14ac:dyDescent="0.4">
      <c r="A1" s="1">
        <f>COUNTA(B8:AF19)</f>
        <v>5</v>
      </c>
      <c r="B1" s="50">
        <f>A1/260</f>
        <v>1.9230769230769232E-2</v>
      </c>
      <c r="C1" s="50">
        <f>1-B1</f>
        <v>0.98076923076923073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218</v>
      </c>
      <c r="E3" s="4"/>
      <c r="F3" s="4"/>
      <c r="G3" s="4"/>
      <c r="H3" s="4"/>
      <c r="I3" s="4"/>
      <c r="J3" s="4"/>
      <c r="L3" t="s">
        <v>2</v>
      </c>
      <c r="O3" s="23">
        <v>44823</v>
      </c>
      <c r="P3" s="4"/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28" t="s">
        <v>114</v>
      </c>
      <c r="E18" s="16"/>
      <c r="F18" s="10"/>
      <c r="G18" s="10"/>
      <c r="H18" s="9"/>
      <c r="I18" s="9"/>
      <c r="J18" s="26" t="s">
        <v>114</v>
      </c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26" t="s">
        <v>114</v>
      </c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3</v>
      </c>
    </row>
    <row r="19" spans="1:34" ht="15.5" x14ac:dyDescent="0.25">
      <c r="A19" s="19" t="s">
        <v>14</v>
      </c>
      <c r="B19" s="16"/>
      <c r="C19" s="16"/>
      <c r="D19" s="10"/>
      <c r="E19" s="10"/>
      <c r="F19" s="26" t="s">
        <v>175</v>
      </c>
      <c r="G19" s="26" t="s">
        <v>116</v>
      </c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0" spans="1:34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4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  <c r="AF22" s="5"/>
    </row>
    <row r="23" spans="1:34" x14ac:dyDescent="0.25">
      <c r="A23" s="17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  <c r="AF23" s="5"/>
    </row>
    <row r="24" spans="1:34" x14ac:dyDescent="0.25">
      <c r="A24" s="17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  <c r="AF24" s="5"/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  <c r="AF25" s="5"/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  <c r="AF26" s="5"/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  <c r="AF27" s="5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  <c r="AF28" s="5"/>
    </row>
  </sheetData>
  <mergeCells count="24">
    <mergeCell ref="B28:C28"/>
    <mergeCell ref="E28:F28"/>
    <mergeCell ref="H28:M28"/>
    <mergeCell ref="B26:C26"/>
    <mergeCell ref="E26:F26"/>
    <mergeCell ref="H26:M26"/>
    <mergeCell ref="B27:C27"/>
    <mergeCell ref="E27:F27"/>
    <mergeCell ref="H27:M27"/>
    <mergeCell ref="B24:C24"/>
    <mergeCell ref="E24:F24"/>
    <mergeCell ref="H24:M24"/>
    <mergeCell ref="B25:C25"/>
    <mergeCell ref="E25:F25"/>
    <mergeCell ref="H25:M25"/>
    <mergeCell ref="B23:C23"/>
    <mergeCell ref="E23:F23"/>
    <mergeCell ref="H23:M23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Planilha81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20</v>
      </c>
      <c r="B1" s="50">
        <f>A1/260</f>
        <v>7.6923076923076927E-2</v>
      </c>
      <c r="C1" s="50">
        <f>1-B1</f>
        <v>0.92307692307692313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100</v>
      </c>
      <c r="E3" s="4"/>
      <c r="F3" s="4"/>
      <c r="G3" s="4"/>
      <c r="H3" s="4"/>
      <c r="I3" s="4"/>
      <c r="J3" s="4"/>
      <c r="N3" t="s">
        <v>2</v>
      </c>
      <c r="O3" s="4"/>
      <c r="P3" s="24">
        <v>44522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26" t="s">
        <v>112</v>
      </c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1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26" t="s">
        <v>112</v>
      </c>
      <c r="J9" s="9"/>
      <c r="K9" s="9"/>
      <c r="L9" s="9"/>
      <c r="M9" s="10"/>
      <c r="N9" s="10"/>
      <c r="O9" s="9"/>
      <c r="P9" s="9"/>
      <c r="Q9" s="9"/>
      <c r="R9" s="26" t="s">
        <v>169</v>
      </c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33" t="s">
        <v>112</v>
      </c>
      <c r="C10" s="16"/>
      <c r="D10" s="16"/>
      <c r="E10" s="16"/>
      <c r="F10" s="10"/>
      <c r="G10" s="10"/>
      <c r="H10" s="26" t="s">
        <v>113</v>
      </c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26" t="s">
        <v>112</v>
      </c>
      <c r="Y10" s="9"/>
      <c r="Z10" s="9"/>
      <c r="AA10" s="10"/>
      <c r="AB10" s="10"/>
      <c r="AC10" s="9"/>
      <c r="AD10" s="9"/>
      <c r="AE10" s="9"/>
      <c r="AF10" s="9"/>
      <c r="AH10">
        <f t="shared" si="0"/>
        <v>3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26" t="s">
        <v>125</v>
      </c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26" t="s">
        <v>157</v>
      </c>
      <c r="AC11" s="26" t="s">
        <v>114</v>
      </c>
      <c r="AD11" s="9"/>
      <c r="AE11" s="10"/>
      <c r="AF11" s="22"/>
      <c r="AH11">
        <f t="shared" si="0"/>
        <v>3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26" t="s">
        <v>178</v>
      </c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29" t="s">
        <v>114</v>
      </c>
      <c r="C13" s="16"/>
      <c r="D13" s="16"/>
      <c r="E13" s="10"/>
      <c r="F13" s="10"/>
      <c r="G13" s="9"/>
      <c r="H13" s="26" t="s">
        <v>178</v>
      </c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26" t="s">
        <v>113</v>
      </c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3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26" t="s">
        <v>114</v>
      </c>
      <c r="U14" s="9"/>
      <c r="V14" s="9"/>
      <c r="W14" s="9"/>
      <c r="X14" s="10"/>
      <c r="Y14" s="10"/>
      <c r="Z14" s="26" t="s">
        <v>178</v>
      </c>
      <c r="AA14" s="9"/>
      <c r="AB14" s="9"/>
      <c r="AC14" s="9"/>
      <c r="AD14" s="9"/>
      <c r="AE14" s="10"/>
      <c r="AF14" s="10"/>
      <c r="AH14">
        <f t="shared" si="0"/>
        <v>2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26" t="s">
        <v>179</v>
      </c>
      <c r="R15" s="9"/>
      <c r="S15" s="9"/>
      <c r="T15" s="9"/>
      <c r="U15" s="10"/>
      <c r="V15" s="10"/>
      <c r="W15" s="9"/>
      <c r="X15" s="9"/>
      <c r="Y15" s="26" t="s">
        <v>179</v>
      </c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26" t="s">
        <v>113</v>
      </c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179</v>
      </c>
      <c r="N19" s="9"/>
      <c r="O19" s="9"/>
      <c r="P19" s="26" t="s">
        <v>113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44572</v>
      </c>
      <c r="B23" s="51"/>
      <c r="C23" s="51"/>
      <c r="D23" s="16"/>
      <c r="E23" s="51"/>
      <c r="F23" s="51"/>
      <c r="G23" s="16"/>
      <c r="H23" s="62" t="s">
        <v>120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44600</v>
      </c>
      <c r="B24" s="51"/>
      <c r="C24" s="51"/>
      <c r="D24" s="16"/>
      <c r="E24" s="51"/>
      <c r="F24" s="51"/>
      <c r="G24" s="16"/>
      <c r="H24" s="62" t="s">
        <v>120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>
        <v>44621</v>
      </c>
      <c r="B25" s="51"/>
      <c r="C25" s="51"/>
      <c r="D25" s="16"/>
      <c r="E25" s="51"/>
      <c r="F25" s="51"/>
      <c r="G25" s="16"/>
      <c r="H25" s="62" t="s">
        <v>120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>
        <v>44643</v>
      </c>
      <c r="B26" s="51"/>
      <c r="C26" s="51"/>
      <c r="D26" s="16"/>
      <c r="E26" s="51"/>
      <c r="F26" s="51"/>
      <c r="G26" s="16"/>
      <c r="H26" s="62" t="s">
        <v>120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Planilha82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12</v>
      </c>
      <c r="B1" s="50">
        <f>A1/260</f>
        <v>4.6153846153846156E-2</v>
      </c>
      <c r="C1" s="50">
        <f>1-B1</f>
        <v>0.95384615384615379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101</v>
      </c>
      <c r="E3" s="4"/>
      <c r="F3" s="4"/>
      <c r="G3" s="4"/>
      <c r="H3" s="4"/>
      <c r="I3" s="4"/>
      <c r="J3" s="4"/>
      <c r="N3" t="s">
        <v>2</v>
      </c>
      <c r="O3" s="4"/>
      <c r="P3" s="24">
        <v>38306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26" t="s">
        <v>114</v>
      </c>
      <c r="I8" s="10"/>
      <c r="J8" s="10"/>
      <c r="K8" s="26" t="s">
        <v>113</v>
      </c>
      <c r="L8" s="26" t="s">
        <v>113</v>
      </c>
      <c r="M8" s="26" t="s">
        <v>116</v>
      </c>
      <c r="N8" s="26" t="s">
        <v>116</v>
      </c>
      <c r="O8" s="9"/>
      <c r="P8" s="10"/>
      <c r="Q8" s="10"/>
      <c r="R8" s="26" t="s">
        <v>114</v>
      </c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6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26" t="s">
        <v>119</v>
      </c>
      <c r="L10" s="9"/>
      <c r="M10" s="10"/>
      <c r="N10" s="10"/>
      <c r="O10" s="26" t="s">
        <v>114</v>
      </c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26" t="s">
        <v>113</v>
      </c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26" t="s">
        <v>113</v>
      </c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1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26" t="s">
        <v>113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26" t="s">
        <v>113</v>
      </c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Planilha83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13</v>
      </c>
      <c r="B1" s="50">
        <f>A1/260</f>
        <v>0.05</v>
      </c>
      <c r="C1" s="50">
        <f>1-B1</f>
        <v>0.95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102</v>
      </c>
      <c r="E3" s="4"/>
      <c r="F3" s="4"/>
      <c r="G3" s="4"/>
      <c r="H3" s="4"/>
      <c r="I3" s="4"/>
      <c r="J3" s="4"/>
      <c r="N3" t="s">
        <v>2</v>
      </c>
      <c r="O3" s="4"/>
      <c r="P3" s="24">
        <v>44061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26" t="s">
        <v>125</v>
      </c>
      <c r="N8" s="9"/>
      <c r="O8" s="9"/>
      <c r="P8" s="10"/>
      <c r="Q8" s="10"/>
      <c r="R8" s="26" t="s">
        <v>114</v>
      </c>
      <c r="S8" s="9"/>
      <c r="T8" s="9"/>
      <c r="U8" s="9"/>
      <c r="V8" s="9"/>
      <c r="W8" s="10"/>
      <c r="X8" s="10"/>
      <c r="Y8" s="26" t="s">
        <v>114</v>
      </c>
      <c r="Z8" s="9"/>
      <c r="AA8" s="9"/>
      <c r="AB8" s="9"/>
      <c r="AC8" s="9"/>
      <c r="AD8" s="10"/>
      <c r="AE8" s="10"/>
      <c r="AF8" s="9"/>
      <c r="AH8">
        <f>COUNTA(B8:AF8)</f>
        <v>3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26" t="s">
        <v>113</v>
      </c>
      <c r="J10" s="26" t="s">
        <v>113</v>
      </c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26" t="s">
        <v>112</v>
      </c>
      <c r="G11" s="26" t="s">
        <v>114</v>
      </c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26" t="s">
        <v>114</v>
      </c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3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26" t="s">
        <v>175</v>
      </c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26" t="s">
        <v>114</v>
      </c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26" t="s">
        <v>114</v>
      </c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3">
      <c r="A17" s="19" t="s">
        <v>12</v>
      </c>
      <c r="B17" s="10"/>
      <c r="C17" s="10"/>
      <c r="D17" s="42" t="s">
        <v>178</v>
      </c>
      <c r="E17" s="36" t="s">
        <v>114</v>
      </c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44656</v>
      </c>
      <c r="B23" s="51"/>
      <c r="C23" s="51"/>
      <c r="D23" s="16"/>
      <c r="E23" s="51"/>
      <c r="F23" s="51"/>
      <c r="G23" s="16"/>
      <c r="H23" s="62" t="s">
        <v>129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Planilha84"/>
  <dimension ref="A1:AH34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30</v>
      </c>
      <c r="B1" s="50">
        <f>A1/260</f>
        <v>0.11538461538461539</v>
      </c>
      <c r="C1" s="50">
        <f>1-B1</f>
        <v>0.88461538461538458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103</v>
      </c>
      <c r="E3" s="4"/>
      <c r="F3" s="4"/>
      <c r="G3" s="4"/>
      <c r="H3" s="4"/>
      <c r="I3" s="4"/>
      <c r="J3" s="4"/>
      <c r="N3" t="s">
        <v>2</v>
      </c>
      <c r="O3" s="4"/>
      <c r="P3" s="24" t="s">
        <v>104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26" t="s">
        <v>112</v>
      </c>
      <c r="H8" s="26" t="s">
        <v>116</v>
      </c>
      <c r="I8" s="10"/>
      <c r="J8" s="10"/>
      <c r="K8" s="26" t="s">
        <v>113</v>
      </c>
      <c r="L8" s="9"/>
      <c r="M8" s="26" t="s">
        <v>125</v>
      </c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26" t="s">
        <v>142</v>
      </c>
      <c r="Z8" s="9"/>
      <c r="AA8" s="9"/>
      <c r="AB8" s="9"/>
      <c r="AC8" s="9"/>
      <c r="AD8" s="10"/>
      <c r="AE8" s="10"/>
      <c r="AF8" s="9"/>
      <c r="AH8">
        <f>COUNTA(B8:AF8)</f>
        <v>5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26" t="s">
        <v>112</v>
      </c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26" t="s">
        <v>112</v>
      </c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26" t="s">
        <v>114</v>
      </c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26" t="s">
        <v>112</v>
      </c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26" t="s">
        <v>114</v>
      </c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26" t="s">
        <v>113</v>
      </c>
      <c r="V13" s="26" t="s">
        <v>113</v>
      </c>
      <c r="W13" s="26" t="s">
        <v>113</v>
      </c>
      <c r="X13" s="26" t="s">
        <v>113</v>
      </c>
      <c r="Y13" s="9"/>
      <c r="Z13" s="10"/>
      <c r="AA13" s="10"/>
      <c r="AB13" s="9"/>
      <c r="AC13" s="9"/>
      <c r="AD13" s="9"/>
      <c r="AE13" s="9"/>
      <c r="AF13" s="22"/>
      <c r="AH13">
        <f t="shared" si="0"/>
        <v>5</v>
      </c>
    </row>
    <row r="14" spans="1:34" ht="15.5" x14ac:dyDescent="0.25">
      <c r="A14" s="19" t="s">
        <v>9</v>
      </c>
      <c r="B14" s="16"/>
      <c r="C14" s="10"/>
      <c r="D14" s="10"/>
      <c r="E14" s="16"/>
      <c r="F14" s="26" t="s">
        <v>113</v>
      </c>
      <c r="G14" s="26" t="s">
        <v>113</v>
      </c>
      <c r="H14" s="26" t="s">
        <v>113</v>
      </c>
      <c r="I14" s="9"/>
      <c r="J14" s="10"/>
      <c r="K14" s="10"/>
      <c r="L14" s="9"/>
      <c r="M14" s="9"/>
      <c r="N14" s="9"/>
      <c r="O14" s="9"/>
      <c r="P14" s="10"/>
      <c r="Q14" s="10"/>
      <c r="R14" s="10"/>
      <c r="S14" s="26" t="s">
        <v>116</v>
      </c>
      <c r="T14" s="26" t="s">
        <v>116</v>
      </c>
      <c r="U14" s="26" t="s">
        <v>116</v>
      </c>
      <c r="V14" s="26" t="s">
        <v>116</v>
      </c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7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26" t="s">
        <v>175</v>
      </c>
      <c r="AF15" s="9"/>
      <c r="AH15">
        <f t="shared" si="0"/>
        <v>1</v>
      </c>
    </row>
    <row r="16" spans="1:34" ht="15.5" x14ac:dyDescent="0.25">
      <c r="A16" s="19" t="s">
        <v>11</v>
      </c>
      <c r="B16" s="29" t="s">
        <v>113</v>
      </c>
      <c r="C16" s="16"/>
      <c r="D16" s="10"/>
      <c r="E16" s="10"/>
      <c r="F16" s="9"/>
      <c r="G16" s="26" t="s">
        <v>113</v>
      </c>
      <c r="H16" s="26" t="s">
        <v>114</v>
      </c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26" t="s">
        <v>114</v>
      </c>
      <c r="AB16" s="9"/>
      <c r="AC16" s="9"/>
      <c r="AD16" s="9"/>
      <c r="AE16" s="9"/>
      <c r="AF16" s="22"/>
      <c r="AH16">
        <f t="shared" si="0"/>
        <v>4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26" t="s">
        <v>114</v>
      </c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26" t="s">
        <v>114</v>
      </c>
      <c r="AH17">
        <f t="shared" si="0"/>
        <v>2</v>
      </c>
    </row>
    <row r="18" spans="1:34" ht="15.5" x14ac:dyDescent="0.25">
      <c r="A18" s="19" t="s">
        <v>13</v>
      </c>
      <c r="B18" s="42" t="s">
        <v>116</v>
      </c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26" t="s">
        <v>246</v>
      </c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44760</v>
      </c>
      <c r="B23" s="51"/>
      <c r="C23" s="51"/>
      <c r="D23" s="16"/>
      <c r="E23" s="51"/>
      <c r="F23" s="51"/>
      <c r="G23" s="16"/>
      <c r="H23" s="62" t="s">
        <v>194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29" spans="1:34" x14ac:dyDescent="0.25">
      <c r="A29" s="25" t="s">
        <v>118</v>
      </c>
      <c r="B29" s="51"/>
      <c r="C29" s="51"/>
      <c r="D29" s="16"/>
      <c r="E29" s="51"/>
      <c r="F29" s="51"/>
      <c r="G29" s="16"/>
      <c r="H29" s="52" t="s">
        <v>118</v>
      </c>
      <c r="I29" s="53"/>
      <c r="J29" s="53"/>
      <c r="K29" s="53"/>
      <c r="L29" s="53"/>
      <c r="M29" s="54"/>
    </row>
    <row r="30" spans="1:34" x14ac:dyDescent="0.25">
      <c r="A30" s="17"/>
      <c r="B30" s="51"/>
      <c r="C30" s="51"/>
      <c r="D30" s="16"/>
      <c r="E30" s="51"/>
      <c r="F30" s="51"/>
      <c r="G30" s="16"/>
      <c r="H30" s="52"/>
      <c r="I30" s="53"/>
      <c r="J30" s="53"/>
      <c r="K30" s="53"/>
      <c r="L30" s="53"/>
      <c r="M30" s="54"/>
    </row>
    <row r="31" spans="1:34" x14ac:dyDescent="0.25">
      <c r="A31" s="25" t="s">
        <v>118</v>
      </c>
      <c r="B31" s="51"/>
      <c r="C31" s="51"/>
      <c r="D31" s="16"/>
      <c r="E31" s="51"/>
      <c r="F31" s="51"/>
      <c r="G31" s="16"/>
      <c r="H31" s="52" t="s">
        <v>118</v>
      </c>
      <c r="I31" s="53"/>
      <c r="J31" s="53"/>
      <c r="K31" s="53"/>
      <c r="L31" s="53"/>
      <c r="M31" s="54"/>
    </row>
    <row r="32" spans="1:34" x14ac:dyDescent="0.25">
      <c r="A32" s="17"/>
      <c r="B32" s="51"/>
      <c r="C32" s="51"/>
      <c r="D32" s="16"/>
      <c r="E32" s="51"/>
      <c r="F32" s="51"/>
      <c r="G32" s="16"/>
      <c r="H32" s="52"/>
      <c r="I32" s="53"/>
      <c r="J32" s="53"/>
      <c r="K32" s="53"/>
      <c r="L32" s="53"/>
      <c r="M32" s="54"/>
    </row>
    <row r="33" spans="1:13" x14ac:dyDescent="0.25">
      <c r="A33" s="25" t="s">
        <v>118</v>
      </c>
      <c r="B33" s="51"/>
      <c r="C33" s="51"/>
      <c r="D33" s="16"/>
      <c r="E33" s="51"/>
      <c r="F33" s="51"/>
      <c r="G33" s="16"/>
      <c r="H33" s="52" t="s">
        <v>118</v>
      </c>
      <c r="I33" s="53"/>
      <c r="J33" s="53"/>
      <c r="K33" s="53"/>
      <c r="L33" s="53"/>
      <c r="M33" s="54"/>
    </row>
    <row r="34" spans="1:13" x14ac:dyDescent="0.25">
      <c r="A34" s="17"/>
      <c r="B34" s="51"/>
      <c r="C34" s="51"/>
      <c r="D34" s="16"/>
      <c r="E34" s="51"/>
      <c r="F34" s="51"/>
      <c r="G34" s="16"/>
      <c r="H34" s="52"/>
      <c r="I34" s="53"/>
      <c r="J34" s="53"/>
      <c r="K34" s="53"/>
      <c r="L34" s="53"/>
      <c r="M34" s="54"/>
    </row>
  </sheetData>
  <mergeCells count="42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  <mergeCell ref="B29:C29"/>
    <mergeCell ref="E29:F29"/>
    <mergeCell ref="H29:M29"/>
    <mergeCell ref="B30:C30"/>
    <mergeCell ref="E30:F30"/>
    <mergeCell ref="H30:M30"/>
    <mergeCell ref="B31:C31"/>
    <mergeCell ref="E31:F31"/>
    <mergeCell ref="H31:M31"/>
    <mergeCell ref="B32:C32"/>
    <mergeCell ref="E32:F32"/>
    <mergeCell ref="H32:M32"/>
    <mergeCell ref="B33:C33"/>
    <mergeCell ref="E33:F33"/>
    <mergeCell ref="H33:M33"/>
    <mergeCell ref="B34:C34"/>
    <mergeCell ref="E34:F34"/>
    <mergeCell ref="H34:M34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Planilha85"/>
  <dimension ref="A1:AH34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8</v>
      </c>
      <c r="B1" s="50">
        <f>A1/260</f>
        <v>3.0769230769230771E-2</v>
      </c>
      <c r="C1" s="50">
        <f>1-B1</f>
        <v>0.96923076923076923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225</v>
      </c>
      <c r="E3" s="4"/>
      <c r="F3" s="4"/>
      <c r="G3" s="4"/>
      <c r="H3" s="4"/>
      <c r="I3" s="4"/>
      <c r="J3" s="4"/>
      <c r="N3" t="s">
        <v>2</v>
      </c>
      <c r="O3" s="4"/>
      <c r="P3" s="24">
        <v>44753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34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10"/>
      <c r="U16" s="9"/>
      <c r="V16" s="9"/>
      <c r="W16" s="9"/>
      <c r="X16" s="9"/>
      <c r="Y16" s="10"/>
      <c r="Z16" s="10"/>
      <c r="AA16" s="9"/>
      <c r="AB16" s="9"/>
      <c r="AC16" s="26" t="s">
        <v>178</v>
      </c>
      <c r="AD16" s="26" t="s">
        <v>116</v>
      </c>
      <c r="AE16" s="9"/>
      <c r="AF16" s="22"/>
      <c r="AH16">
        <f t="shared" si="0"/>
        <v>2</v>
      </c>
    </row>
    <row r="17" spans="1:34" ht="15.5" x14ac:dyDescent="0.3">
      <c r="A17" s="19" t="s">
        <v>12</v>
      </c>
      <c r="B17" s="10"/>
      <c r="C17" s="10"/>
      <c r="D17" s="36" t="s">
        <v>113</v>
      </c>
      <c r="E17" s="36" t="s">
        <v>113</v>
      </c>
      <c r="F17" s="9"/>
      <c r="G17" s="9"/>
      <c r="H17" s="9"/>
      <c r="I17" s="10"/>
      <c r="J17" s="10"/>
      <c r="K17" s="9"/>
      <c r="L17" s="26" t="s">
        <v>114</v>
      </c>
      <c r="M17" s="9"/>
      <c r="N17" s="9"/>
      <c r="O17" s="9"/>
      <c r="P17" s="10"/>
      <c r="Q17" s="10"/>
      <c r="R17" s="26" t="s">
        <v>114</v>
      </c>
      <c r="S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4</v>
      </c>
    </row>
    <row r="18" spans="1:34" ht="15.5" x14ac:dyDescent="0.25">
      <c r="A18" s="19" t="s">
        <v>13</v>
      </c>
      <c r="B18" s="42" t="s">
        <v>208</v>
      </c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U18" s="10"/>
      <c r="V18" s="9"/>
      <c r="W18" s="26" t="s">
        <v>179</v>
      </c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44833</v>
      </c>
      <c r="B23" s="51"/>
      <c r="C23" s="51"/>
      <c r="D23" s="16"/>
      <c r="E23" s="51"/>
      <c r="F23" s="51"/>
      <c r="G23" s="16"/>
      <c r="H23" s="62" t="s">
        <v>195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29" spans="1:34" x14ac:dyDescent="0.25">
      <c r="A29" s="25" t="s">
        <v>118</v>
      </c>
      <c r="B29" s="51"/>
      <c r="C29" s="51"/>
      <c r="D29" s="16"/>
      <c r="E29" s="51"/>
      <c r="F29" s="51"/>
      <c r="G29" s="16"/>
      <c r="H29" s="52" t="s">
        <v>118</v>
      </c>
      <c r="I29" s="53"/>
      <c r="J29" s="53"/>
      <c r="K29" s="53"/>
      <c r="L29" s="53"/>
      <c r="M29" s="54"/>
    </row>
    <row r="30" spans="1:34" x14ac:dyDescent="0.25">
      <c r="A30" s="17"/>
      <c r="B30" s="51"/>
      <c r="C30" s="51"/>
      <c r="D30" s="16"/>
      <c r="E30" s="51"/>
      <c r="F30" s="51"/>
      <c r="G30" s="16"/>
      <c r="H30" s="52"/>
      <c r="I30" s="53"/>
      <c r="J30" s="53"/>
      <c r="K30" s="53"/>
      <c r="L30" s="53"/>
      <c r="M30" s="54"/>
    </row>
    <row r="31" spans="1:34" x14ac:dyDescent="0.25">
      <c r="A31" s="25" t="s">
        <v>118</v>
      </c>
      <c r="B31" s="51"/>
      <c r="C31" s="51"/>
      <c r="D31" s="16"/>
      <c r="E31" s="51"/>
      <c r="F31" s="51"/>
      <c r="G31" s="16"/>
      <c r="H31" s="52" t="s">
        <v>118</v>
      </c>
      <c r="I31" s="53"/>
      <c r="J31" s="53"/>
      <c r="K31" s="53"/>
      <c r="L31" s="53"/>
      <c r="M31" s="54"/>
    </row>
    <row r="32" spans="1:34" x14ac:dyDescent="0.25">
      <c r="A32" s="17"/>
      <c r="B32" s="51"/>
      <c r="C32" s="51"/>
      <c r="D32" s="16"/>
      <c r="E32" s="51"/>
      <c r="F32" s="51"/>
      <c r="G32" s="16"/>
      <c r="H32" s="52"/>
      <c r="I32" s="53"/>
      <c r="J32" s="53"/>
      <c r="K32" s="53"/>
      <c r="L32" s="53"/>
      <c r="M32" s="54"/>
    </row>
    <row r="33" spans="1:13" x14ac:dyDescent="0.25">
      <c r="A33" s="25" t="s">
        <v>118</v>
      </c>
      <c r="B33" s="51"/>
      <c r="C33" s="51"/>
      <c r="D33" s="16"/>
      <c r="E33" s="51"/>
      <c r="F33" s="51"/>
      <c r="G33" s="16"/>
      <c r="H33" s="52" t="s">
        <v>118</v>
      </c>
      <c r="I33" s="53"/>
      <c r="J33" s="53"/>
      <c r="K33" s="53"/>
      <c r="L33" s="53"/>
      <c r="M33" s="54"/>
    </row>
    <row r="34" spans="1:13" x14ac:dyDescent="0.25">
      <c r="A34" s="17"/>
      <c r="B34" s="51"/>
      <c r="C34" s="51"/>
      <c r="D34" s="16"/>
      <c r="E34" s="51"/>
      <c r="F34" s="51"/>
      <c r="G34" s="16"/>
      <c r="H34" s="52"/>
      <c r="I34" s="53"/>
      <c r="J34" s="53"/>
      <c r="K34" s="53"/>
      <c r="L34" s="53"/>
      <c r="M34" s="54"/>
    </row>
  </sheetData>
  <mergeCells count="42">
    <mergeCell ref="B33:C33"/>
    <mergeCell ref="E33:F33"/>
    <mergeCell ref="H33:M33"/>
    <mergeCell ref="B34:C34"/>
    <mergeCell ref="E34:F34"/>
    <mergeCell ref="H34:M34"/>
    <mergeCell ref="B31:C31"/>
    <mergeCell ref="E31:F31"/>
    <mergeCell ref="H31:M31"/>
    <mergeCell ref="B32:C32"/>
    <mergeCell ref="E32:F32"/>
    <mergeCell ref="H32:M32"/>
    <mergeCell ref="B29:C29"/>
    <mergeCell ref="E29:F29"/>
    <mergeCell ref="H29:M29"/>
    <mergeCell ref="B30:C30"/>
    <mergeCell ref="E30:F30"/>
    <mergeCell ref="H30:M30"/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  <pageSetup orientation="portrait" horizontalDpi="4294967295" verticalDpi="4294967295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Planilha86"/>
  <dimension ref="A1:AH34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4</v>
      </c>
      <c r="B1" s="50">
        <f>A1/260</f>
        <v>1.5384615384615385E-2</v>
      </c>
      <c r="C1" s="50">
        <f>1-B1</f>
        <v>0.98461538461538467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211</v>
      </c>
      <c r="E3" s="4"/>
      <c r="F3" s="4"/>
      <c r="G3" s="4"/>
      <c r="H3" s="4"/>
      <c r="I3" s="4"/>
      <c r="J3" s="4"/>
      <c r="N3" t="s">
        <v>2</v>
      </c>
      <c r="O3" s="4"/>
      <c r="P3" s="24">
        <v>44795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26" t="s">
        <v>114</v>
      </c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34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26" t="s">
        <v>114</v>
      </c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26" t="s">
        <v>114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26" t="s">
        <v>114</v>
      </c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44760</v>
      </c>
      <c r="B23" s="51"/>
      <c r="C23" s="51"/>
      <c r="D23" s="16"/>
      <c r="E23" s="51"/>
      <c r="F23" s="51"/>
      <c r="G23" s="16"/>
      <c r="H23" s="62" t="s">
        <v>194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29" spans="1:34" x14ac:dyDescent="0.25">
      <c r="A29" s="25" t="s">
        <v>118</v>
      </c>
      <c r="B29" s="51"/>
      <c r="C29" s="51"/>
      <c r="D29" s="16"/>
      <c r="E29" s="51"/>
      <c r="F29" s="51"/>
      <c r="G29" s="16"/>
      <c r="H29" s="52" t="s">
        <v>118</v>
      </c>
      <c r="I29" s="53"/>
      <c r="J29" s="53"/>
      <c r="K29" s="53"/>
      <c r="L29" s="53"/>
      <c r="M29" s="54"/>
    </row>
    <row r="30" spans="1:34" x14ac:dyDescent="0.25">
      <c r="A30" s="17"/>
      <c r="B30" s="51"/>
      <c r="C30" s="51"/>
      <c r="D30" s="16"/>
      <c r="E30" s="51"/>
      <c r="F30" s="51"/>
      <c r="G30" s="16"/>
      <c r="H30" s="52"/>
      <c r="I30" s="53"/>
      <c r="J30" s="53"/>
      <c r="K30" s="53"/>
      <c r="L30" s="53"/>
      <c r="M30" s="54"/>
    </row>
    <row r="31" spans="1:34" x14ac:dyDescent="0.25">
      <c r="A31" s="25" t="s">
        <v>118</v>
      </c>
      <c r="B31" s="51"/>
      <c r="C31" s="51"/>
      <c r="D31" s="16"/>
      <c r="E31" s="51"/>
      <c r="F31" s="51"/>
      <c r="G31" s="16"/>
      <c r="H31" s="52" t="s">
        <v>118</v>
      </c>
      <c r="I31" s="53"/>
      <c r="J31" s="53"/>
      <c r="K31" s="53"/>
      <c r="L31" s="53"/>
      <c r="M31" s="54"/>
    </row>
    <row r="32" spans="1:34" x14ac:dyDescent="0.25">
      <c r="A32" s="17"/>
      <c r="B32" s="51"/>
      <c r="C32" s="51"/>
      <c r="D32" s="16"/>
      <c r="E32" s="51"/>
      <c r="F32" s="51"/>
      <c r="G32" s="16"/>
      <c r="H32" s="52"/>
      <c r="I32" s="53"/>
      <c r="J32" s="53"/>
      <c r="K32" s="53"/>
      <c r="L32" s="53"/>
      <c r="M32" s="54"/>
    </row>
    <row r="33" spans="1:13" x14ac:dyDescent="0.25">
      <c r="A33" s="25" t="s">
        <v>118</v>
      </c>
      <c r="B33" s="51"/>
      <c r="C33" s="51"/>
      <c r="D33" s="16"/>
      <c r="E33" s="51"/>
      <c r="F33" s="51"/>
      <c r="G33" s="16"/>
      <c r="H33" s="52" t="s">
        <v>118</v>
      </c>
      <c r="I33" s="53"/>
      <c r="J33" s="53"/>
      <c r="K33" s="53"/>
      <c r="L33" s="53"/>
      <c r="M33" s="54"/>
    </row>
    <row r="34" spans="1:13" x14ac:dyDescent="0.25">
      <c r="A34" s="17"/>
      <c r="B34" s="51"/>
      <c r="C34" s="51"/>
      <c r="D34" s="16"/>
      <c r="E34" s="51"/>
      <c r="F34" s="51"/>
      <c r="G34" s="16"/>
      <c r="H34" s="52"/>
      <c r="I34" s="53"/>
      <c r="J34" s="53"/>
      <c r="K34" s="53"/>
      <c r="L34" s="53"/>
      <c r="M34" s="54"/>
    </row>
  </sheetData>
  <mergeCells count="42">
    <mergeCell ref="B33:C33"/>
    <mergeCell ref="E33:F33"/>
    <mergeCell ref="H33:M33"/>
    <mergeCell ref="B34:C34"/>
    <mergeCell ref="E34:F34"/>
    <mergeCell ref="H34:M34"/>
    <mergeCell ref="B31:C31"/>
    <mergeCell ref="E31:F31"/>
    <mergeCell ref="H31:M31"/>
    <mergeCell ref="B32:C32"/>
    <mergeCell ref="E32:F32"/>
    <mergeCell ref="H32:M32"/>
    <mergeCell ref="B29:C29"/>
    <mergeCell ref="E29:F29"/>
    <mergeCell ref="H29:M29"/>
    <mergeCell ref="B30:C30"/>
    <mergeCell ref="E30:F30"/>
    <mergeCell ref="H30:M30"/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Planilha87"/>
  <dimension ref="A1:AH34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2</v>
      </c>
      <c r="B1" s="50">
        <f>A1/260</f>
        <v>7.6923076923076927E-3</v>
      </c>
      <c r="C1" s="50">
        <f>1-B1</f>
        <v>0.99230769230769234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230</v>
      </c>
      <c r="E3" s="4"/>
      <c r="F3" s="4"/>
      <c r="G3" s="4"/>
      <c r="H3" s="4"/>
      <c r="I3" s="4"/>
      <c r="J3" s="4"/>
      <c r="N3" t="s">
        <v>2</v>
      </c>
      <c r="O3" s="4"/>
      <c r="P3" s="24"/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45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34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45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26" t="s">
        <v>114</v>
      </c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26" t="s">
        <v>114</v>
      </c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44760</v>
      </c>
      <c r="B23" s="51"/>
      <c r="C23" s="51"/>
      <c r="D23" s="16"/>
      <c r="E23" s="51"/>
      <c r="F23" s="51"/>
      <c r="G23" s="16"/>
      <c r="H23" s="62" t="s">
        <v>194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29" spans="1:34" x14ac:dyDescent="0.25">
      <c r="A29" s="25" t="s">
        <v>118</v>
      </c>
      <c r="B29" s="51"/>
      <c r="C29" s="51"/>
      <c r="D29" s="16"/>
      <c r="E29" s="51"/>
      <c r="F29" s="51"/>
      <c r="G29" s="16"/>
      <c r="H29" s="52" t="s">
        <v>118</v>
      </c>
      <c r="I29" s="53"/>
      <c r="J29" s="53"/>
      <c r="K29" s="53"/>
      <c r="L29" s="53"/>
      <c r="M29" s="54"/>
    </row>
    <row r="30" spans="1:34" x14ac:dyDescent="0.25">
      <c r="A30" s="17"/>
      <c r="B30" s="51"/>
      <c r="C30" s="51"/>
      <c r="D30" s="16"/>
      <c r="E30" s="51"/>
      <c r="F30" s="51"/>
      <c r="G30" s="16"/>
      <c r="H30" s="52"/>
      <c r="I30" s="53"/>
      <c r="J30" s="53"/>
      <c r="K30" s="53"/>
      <c r="L30" s="53"/>
      <c r="M30" s="54"/>
    </row>
    <row r="31" spans="1:34" x14ac:dyDescent="0.25">
      <c r="A31" s="25" t="s">
        <v>118</v>
      </c>
      <c r="B31" s="51"/>
      <c r="C31" s="51"/>
      <c r="D31" s="16"/>
      <c r="E31" s="51"/>
      <c r="F31" s="51"/>
      <c r="G31" s="16"/>
      <c r="H31" s="52" t="s">
        <v>118</v>
      </c>
      <c r="I31" s="53"/>
      <c r="J31" s="53"/>
      <c r="K31" s="53"/>
      <c r="L31" s="53"/>
      <c r="M31" s="54"/>
    </row>
    <row r="32" spans="1:34" x14ac:dyDescent="0.25">
      <c r="A32" s="17"/>
      <c r="B32" s="51"/>
      <c r="C32" s="51"/>
      <c r="D32" s="16"/>
      <c r="E32" s="51"/>
      <c r="F32" s="51"/>
      <c r="G32" s="16"/>
      <c r="H32" s="52"/>
      <c r="I32" s="53"/>
      <c r="J32" s="53"/>
      <c r="K32" s="53"/>
      <c r="L32" s="53"/>
      <c r="M32" s="54"/>
    </row>
    <row r="33" spans="1:13" x14ac:dyDescent="0.25">
      <c r="A33" s="25" t="s">
        <v>118</v>
      </c>
      <c r="B33" s="51"/>
      <c r="C33" s="51"/>
      <c r="D33" s="16"/>
      <c r="E33" s="51"/>
      <c r="F33" s="51"/>
      <c r="G33" s="16"/>
      <c r="H33" s="52" t="s">
        <v>118</v>
      </c>
      <c r="I33" s="53"/>
      <c r="J33" s="53"/>
      <c r="K33" s="53"/>
      <c r="L33" s="53"/>
      <c r="M33" s="54"/>
    </row>
    <row r="34" spans="1:13" x14ac:dyDescent="0.25">
      <c r="A34" s="17"/>
      <c r="B34" s="51"/>
      <c r="C34" s="51"/>
      <c r="D34" s="16"/>
      <c r="E34" s="51"/>
      <c r="F34" s="51"/>
      <c r="G34" s="16"/>
      <c r="H34" s="52"/>
      <c r="I34" s="53"/>
      <c r="J34" s="53"/>
      <c r="K34" s="53"/>
      <c r="L34" s="53"/>
      <c r="M34" s="54"/>
    </row>
  </sheetData>
  <mergeCells count="42">
    <mergeCell ref="B33:C33"/>
    <mergeCell ref="E33:F33"/>
    <mergeCell ref="H33:M33"/>
    <mergeCell ref="B34:C34"/>
    <mergeCell ref="E34:F34"/>
    <mergeCell ref="H34:M34"/>
    <mergeCell ref="B31:C31"/>
    <mergeCell ref="E31:F31"/>
    <mergeCell ref="H31:M31"/>
    <mergeCell ref="B32:C32"/>
    <mergeCell ref="E32:F32"/>
    <mergeCell ref="H32:M32"/>
    <mergeCell ref="B29:C29"/>
    <mergeCell ref="E29:F29"/>
    <mergeCell ref="H29:M29"/>
    <mergeCell ref="B30:C30"/>
    <mergeCell ref="E30:F30"/>
    <mergeCell ref="H30:M30"/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Planilha88"/>
  <dimension ref="A1:AH36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26</v>
      </c>
      <c r="B1" s="50">
        <f>A1/260</f>
        <v>0.1</v>
      </c>
      <c r="C1" s="50">
        <f>1-B1</f>
        <v>0.9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105</v>
      </c>
      <c r="E3" s="4"/>
      <c r="F3" s="4"/>
      <c r="G3" s="4"/>
      <c r="H3" s="4"/>
      <c r="I3" s="4"/>
      <c r="J3" s="4"/>
      <c r="N3" t="s">
        <v>2</v>
      </c>
      <c r="O3" s="4"/>
      <c r="P3" s="24">
        <v>44424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26" t="s">
        <v>113</v>
      </c>
      <c r="Z8" s="26" t="s">
        <v>113</v>
      </c>
      <c r="AA8" s="26" t="s">
        <v>113</v>
      </c>
      <c r="AB8" s="26" t="s">
        <v>113</v>
      </c>
      <c r="AC8" s="9"/>
      <c r="AD8" s="10"/>
      <c r="AE8" s="10"/>
      <c r="AF8" s="9"/>
      <c r="AH8">
        <f>COUNTA(B8:AF8)</f>
        <v>4</v>
      </c>
    </row>
    <row r="9" spans="1:34" ht="15.5" x14ac:dyDescent="0.25">
      <c r="A9" s="19" t="s">
        <v>4</v>
      </c>
      <c r="B9" s="29" t="s">
        <v>116</v>
      </c>
      <c r="C9" s="29" t="s">
        <v>112</v>
      </c>
      <c r="D9" s="26" t="s">
        <v>116</v>
      </c>
      <c r="E9" s="9"/>
      <c r="F9" s="10"/>
      <c r="G9" s="10"/>
      <c r="H9" s="26" t="s">
        <v>114</v>
      </c>
      <c r="I9" s="26" t="s">
        <v>116</v>
      </c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26" t="s">
        <v>125</v>
      </c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6</v>
      </c>
    </row>
    <row r="10" spans="1:34" ht="15.5" x14ac:dyDescent="0.25">
      <c r="A10" s="19" t="s">
        <v>5</v>
      </c>
      <c r="B10" s="16"/>
      <c r="C10" s="29" t="s">
        <v>112</v>
      </c>
      <c r="D10" s="16"/>
      <c r="E10" s="16"/>
      <c r="F10" s="10"/>
      <c r="G10" s="10"/>
      <c r="H10" s="9"/>
      <c r="I10" s="26" t="s">
        <v>112</v>
      </c>
      <c r="J10" s="9"/>
      <c r="K10" s="9"/>
      <c r="L10" s="9"/>
      <c r="M10" s="10"/>
      <c r="N10" s="10"/>
      <c r="O10" s="9"/>
      <c r="P10" s="9"/>
      <c r="Q10" s="9"/>
      <c r="R10" s="26" t="s">
        <v>142</v>
      </c>
      <c r="S10" s="9"/>
      <c r="T10" s="10"/>
      <c r="U10" s="10"/>
      <c r="V10" s="9"/>
      <c r="W10" s="9"/>
      <c r="X10" s="9"/>
      <c r="Y10" s="26" t="s">
        <v>112</v>
      </c>
      <c r="Z10" s="9"/>
      <c r="AA10" s="10"/>
      <c r="AB10" s="10"/>
      <c r="AC10" s="9"/>
      <c r="AD10" s="9"/>
      <c r="AE10" s="9"/>
      <c r="AF10" s="9"/>
      <c r="AH10">
        <f t="shared" si="0"/>
        <v>4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26" t="s">
        <v>175</v>
      </c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26" t="s">
        <v>114</v>
      </c>
      <c r="V13" s="26" t="s">
        <v>116</v>
      </c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3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26" t="s">
        <v>178</v>
      </c>
      <c r="AB14" s="26" t="s">
        <v>116</v>
      </c>
      <c r="AC14" s="9"/>
      <c r="AD14" s="9"/>
      <c r="AE14" s="10"/>
      <c r="AF14" s="10"/>
      <c r="AH14">
        <f t="shared" si="0"/>
        <v>2</v>
      </c>
    </row>
    <row r="15" spans="1:34" ht="15.5" x14ac:dyDescent="0.25">
      <c r="A15" s="19" t="s">
        <v>10</v>
      </c>
      <c r="B15" s="16"/>
      <c r="C15" s="16"/>
      <c r="D15" s="16"/>
      <c r="E15" s="28" t="s">
        <v>175</v>
      </c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26" t="s">
        <v>175</v>
      </c>
      <c r="J16" s="9"/>
      <c r="K16" s="10"/>
      <c r="L16" s="10"/>
      <c r="M16" s="26" t="s">
        <v>114</v>
      </c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2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26" t="s">
        <v>114</v>
      </c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114</v>
      </c>
      <c r="AE18" s="26" t="s">
        <v>114</v>
      </c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26" t="s">
        <v>114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44594</v>
      </c>
      <c r="B23" s="51"/>
      <c r="C23" s="51"/>
      <c r="D23" s="16"/>
      <c r="E23" s="51"/>
      <c r="F23" s="51"/>
      <c r="G23" s="16"/>
      <c r="H23" s="62" t="s">
        <v>129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44622</v>
      </c>
      <c r="B24" s="51"/>
      <c r="C24" s="51"/>
      <c r="D24" s="16"/>
      <c r="E24" s="51"/>
      <c r="F24" s="51"/>
      <c r="G24" s="16"/>
      <c r="H24" s="52" t="s">
        <v>129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>
        <v>44628</v>
      </c>
      <c r="B25" s="51"/>
      <c r="C25" s="51"/>
      <c r="D25" s="16"/>
      <c r="E25" s="51"/>
      <c r="F25" s="51"/>
      <c r="G25" s="16"/>
      <c r="H25" s="52" t="s">
        <v>129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>
        <v>44644</v>
      </c>
      <c r="B26" s="51"/>
      <c r="C26" s="51"/>
      <c r="D26" s="16"/>
      <c r="E26" s="51"/>
      <c r="F26" s="51"/>
      <c r="G26" s="16"/>
      <c r="H26" s="52" t="s">
        <v>120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29" spans="1:34" x14ac:dyDescent="0.25">
      <c r="A29" s="25" t="s">
        <v>118</v>
      </c>
      <c r="B29" s="51"/>
      <c r="C29" s="51"/>
      <c r="D29" s="16"/>
      <c r="E29" s="51"/>
      <c r="F29" s="51"/>
      <c r="G29" s="16"/>
      <c r="H29" s="52" t="s">
        <v>118</v>
      </c>
      <c r="I29" s="53"/>
      <c r="J29" s="53"/>
      <c r="K29" s="53"/>
      <c r="L29" s="53"/>
      <c r="M29" s="54"/>
    </row>
    <row r="30" spans="1:34" x14ac:dyDescent="0.25">
      <c r="A30" s="17"/>
      <c r="B30" s="51"/>
      <c r="C30" s="51"/>
      <c r="D30" s="16"/>
      <c r="E30" s="51"/>
      <c r="F30" s="51"/>
      <c r="G30" s="16"/>
      <c r="H30" s="52"/>
      <c r="I30" s="53"/>
      <c r="J30" s="53"/>
      <c r="K30" s="53"/>
      <c r="L30" s="53"/>
      <c r="M30" s="54"/>
    </row>
    <row r="31" spans="1:34" x14ac:dyDescent="0.25">
      <c r="A31" s="25" t="s">
        <v>118</v>
      </c>
      <c r="B31" s="51"/>
      <c r="C31" s="51"/>
      <c r="D31" s="16"/>
      <c r="E31" s="51"/>
      <c r="F31" s="51"/>
      <c r="G31" s="16"/>
      <c r="H31" s="52" t="s">
        <v>118</v>
      </c>
      <c r="I31" s="53"/>
      <c r="J31" s="53"/>
      <c r="K31" s="53"/>
      <c r="L31" s="53"/>
      <c r="M31" s="54"/>
    </row>
    <row r="32" spans="1:34" x14ac:dyDescent="0.25">
      <c r="A32" s="17"/>
      <c r="B32" s="51"/>
      <c r="C32" s="51"/>
      <c r="D32" s="16"/>
      <c r="E32" s="51"/>
      <c r="F32" s="51"/>
      <c r="G32" s="16"/>
      <c r="H32" s="52"/>
      <c r="I32" s="53"/>
      <c r="J32" s="53"/>
      <c r="K32" s="53"/>
      <c r="L32" s="53"/>
      <c r="M32" s="54"/>
    </row>
    <row r="33" spans="1:13" x14ac:dyDescent="0.25">
      <c r="A33" s="25" t="s">
        <v>118</v>
      </c>
      <c r="B33" s="51"/>
      <c r="C33" s="51"/>
      <c r="D33" s="16"/>
      <c r="E33" s="51"/>
      <c r="F33" s="51"/>
      <c r="G33" s="16"/>
      <c r="H33" s="52" t="s">
        <v>118</v>
      </c>
      <c r="I33" s="53"/>
      <c r="J33" s="53"/>
      <c r="K33" s="53"/>
      <c r="L33" s="53"/>
      <c r="M33" s="54"/>
    </row>
    <row r="34" spans="1:13" x14ac:dyDescent="0.25">
      <c r="A34" s="17"/>
      <c r="B34" s="51"/>
      <c r="C34" s="51"/>
      <c r="D34" s="16"/>
      <c r="E34" s="51"/>
      <c r="F34" s="51"/>
      <c r="G34" s="16"/>
      <c r="H34" s="52"/>
      <c r="I34" s="53"/>
      <c r="J34" s="53"/>
      <c r="K34" s="53"/>
      <c r="L34" s="53"/>
      <c r="M34" s="54"/>
    </row>
    <row r="35" spans="1:13" x14ac:dyDescent="0.25">
      <c r="A35" s="25" t="s">
        <v>118</v>
      </c>
      <c r="B35" s="51"/>
      <c r="C35" s="51"/>
      <c r="D35" s="16"/>
      <c r="E35" s="51"/>
      <c r="F35" s="51"/>
      <c r="G35" s="16"/>
      <c r="H35" s="52" t="s">
        <v>118</v>
      </c>
      <c r="I35" s="53"/>
      <c r="J35" s="53"/>
      <c r="K35" s="53"/>
      <c r="L35" s="53"/>
      <c r="M35" s="54"/>
    </row>
    <row r="36" spans="1:13" x14ac:dyDescent="0.25">
      <c r="A36" s="17"/>
      <c r="B36" s="51"/>
      <c r="C36" s="51"/>
      <c r="D36" s="16"/>
      <c r="E36" s="51"/>
      <c r="F36" s="51"/>
      <c r="G36" s="16"/>
      <c r="H36" s="52"/>
      <c r="I36" s="53"/>
      <c r="J36" s="53"/>
      <c r="K36" s="53"/>
      <c r="L36" s="53"/>
      <c r="M36" s="54"/>
    </row>
  </sheetData>
  <mergeCells count="48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  <mergeCell ref="B29:C29"/>
    <mergeCell ref="E29:F29"/>
    <mergeCell ref="H29:M29"/>
    <mergeCell ref="B30:C30"/>
    <mergeCell ref="E30:F30"/>
    <mergeCell ref="H30:M30"/>
    <mergeCell ref="B31:C31"/>
    <mergeCell ref="E31:F31"/>
    <mergeCell ref="H31:M31"/>
    <mergeCell ref="B32:C32"/>
    <mergeCell ref="E32:F32"/>
    <mergeCell ref="H32:M32"/>
    <mergeCell ref="B33:C33"/>
    <mergeCell ref="E33:F33"/>
    <mergeCell ref="H33:M33"/>
    <mergeCell ref="B34:C34"/>
    <mergeCell ref="E34:F34"/>
    <mergeCell ref="H34:M34"/>
    <mergeCell ref="B35:C35"/>
    <mergeCell ref="E35:F35"/>
    <mergeCell ref="H35:M35"/>
    <mergeCell ref="B36:C36"/>
    <mergeCell ref="E36:F36"/>
    <mergeCell ref="H36:M36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Planilha89"/>
  <dimension ref="A1:AH36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14</v>
      </c>
      <c r="B1" s="50">
        <f>A1/260</f>
        <v>5.3846153846153849E-2</v>
      </c>
      <c r="C1" s="50">
        <f>1-B1</f>
        <v>0.94615384615384612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217</v>
      </c>
      <c r="E3" s="4"/>
      <c r="F3" s="4"/>
      <c r="G3" s="4"/>
      <c r="H3" s="4"/>
      <c r="I3" s="4"/>
      <c r="J3" s="4"/>
      <c r="N3" t="s">
        <v>2</v>
      </c>
      <c r="O3" s="4"/>
      <c r="P3" s="24">
        <v>44810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34"/>
      <c r="C9" s="34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34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26" t="s">
        <v>175</v>
      </c>
      <c r="N16" s="26" t="s">
        <v>114</v>
      </c>
      <c r="O16" s="9"/>
      <c r="P16" s="26" t="s">
        <v>116</v>
      </c>
      <c r="Q16" s="9"/>
      <c r="R16" s="10"/>
      <c r="S16" s="10"/>
      <c r="T16" s="9"/>
      <c r="U16" s="9"/>
      <c r="V16" s="26" t="s">
        <v>114</v>
      </c>
      <c r="W16" s="9"/>
      <c r="X16" s="9"/>
      <c r="Y16" s="10"/>
      <c r="Z16" s="10"/>
      <c r="AA16" s="9"/>
      <c r="AB16" s="26" t="s">
        <v>175</v>
      </c>
      <c r="AC16" s="26" t="s">
        <v>114</v>
      </c>
      <c r="AD16" s="9"/>
      <c r="AE16" s="9"/>
      <c r="AF16" s="22"/>
      <c r="AH16">
        <f t="shared" si="0"/>
        <v>6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26" t="s">
        <v>114</v>
      </c>
      <c r="M17" s="9"/>
      <c r="N17" s="9"/>
      <c r="O17" s="9"/>
      <c r="P17" s="10"/>
      <c r="Q17" s="10"/>
      <c r="R17" s="9"/>
      <c r="S17" s="26" t="s">
        <v>114</v>
      </c>
      <c r="T17" s="26" t="s">
        <v>116</v>
      </c>
      <c r="U17" s="26" t="s">
        <v>116</v>
      </c>
      <c r="V17" s="9"/>
      <c r="W17" s="10"/>
      <c r="X17" s="10"/>
      <c r="Y17" s="26" t="s">
        <v>114</v>
      </c>
      <c r="Z17" s="26" t="s">
        <v>114</v>
      </c>
      <c r="AA17" s="26" t="s">
        <v>114</v>
      </c>
      <c r="AB17" s="26" t="s">
        <v>114</v>
      </c>
      <c r="AC17" s="9"/>
      <c r="AD17" s="10"/>
      <c r="AE17" s="10"/>
      <c r="AF17" s="9"/>
      <c r="AH17">
        <f t="shared" si="0"/>
        <v>8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/>
      <c r="B23" s="61">
        <v>44858</v>
      </c>
      <c r="C23" s="51"/>
      <c r="D23" s="16"/>
      <c r="E23" s="51"/>
      <c r="F23" s="51"/>
      <c r="G23" s="16"/>
      <c r="H23" s="62" t="s">
        <v>233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/>
      <c r="B24" s="61">
        <v>44860</v>
      </c>
      <c r="C24" s="51"/>
      <c r="D24" s="16"/>
      <c r="E24" s="51"/>
      <c r="F24" s="51"/>
      <c r="G24" s="16"/>
      <c r="H24" s="52" t="s">
        <v>234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N26" s="20" t="s">
        <v>31</v>
      </c>
    </row>
    <row r="27" spans="1:34" x14ac:dyDescent="0.25">
      <c r="A27" s="25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  <row r="29" spans="1:34" x14ac:dyDescent="0.25">
      <c r="A29" s="25" t="s">
        <v>118</v>
      </c>
      <c r="B29" s="51"/>
      <c r="C29" s="51"/>
      <c r="D29" s="16"/>
      <c r="E29" s="51"/>
      <c r="F29" s="51"/>
      <c r="G29" s="16"/>
      <c r="H29" s="52" t="s">
        <v>118</v>
      </c>
      <c r="I29" s="53"/>
      <c r="J29" s="53"/>
      <c r="K29" s="53"/>
      <c r="L29" s="53"/>
      <c r="M29" s="54"/>
    </row>
    <row r="30" spans="1:34" x14ac:dyDescent="0.25">
      <c r="A30" s="17"/>
      <c r="B30" s="51"/>
      <c r="C30" s="51"/>
      <c r="D30" s="16"/>
      <c r="E30" s="51"/>
      <c r="F30" s="51"/>
      <c r="G30" s="16"/>
      <c r="H30" s="52"/>
      <c r="I30" s="53"/>
      <c r="J30" s="53"/>
      <c r="K30" s="53"/>
      <c r="L30" s="53"/>
      <c r="M30" s="54"/>
    </row>
    <row r="31" spans="1:34" x14ac:dyDescent="0.25">
      <c r="A31" s="25" t="s">
        <v>118</v>
      </c>
      <c r="B31" s="51"/>
      <c r="C31" s="51"/>
      <c r="D31" s="16"/>
      <c r="E31" s="51"/>
      <c r="F31" s="51"/>
      <c r="G31" s="16"/>
      <c r="H31" s="52" t="s">
        <v>118</v>
      </c>
      <c r="I31" s="53"/>
      <c r="J31" s="53"/>
      <c r="K31" s="53"/>
      <c r="L31" s="53"/>
      <c r="M31" s="54"/>
    </row>
    <row r="32" spans="1:34" x14ac:dyDescent="0.25">
      <c r="A32" s="17"/>
      <c r="B32" s="51"/>
      <c r="C32" s="51"/>
      <c r="D32" s="16"/>
      <c r="E32" s="51"/>
      <c r="F32" s="51"/>
      <c r="G32" s="16"/>
      <c r="H32" s="52"/>
      <c r="I32" s="53"/>
      <c r="J32" s="53"/>
      <c r="K32" s="53"/>
      <c r="L32" s="53"/>
      <c r="M32" s="54"/>
    </row>
    <row r="33" spans="1:13" x14ac:dyDescent="0.25">
      <c r="A33" s="25" t="s">
        <v>118</v>
      </c>
      <c r="B33" s="51"/>
      <c r="C33" s="51"/>
      <c r="D33" s="16"/>
      <c r="E33" s="51"/>
      <c r="F33" s="51"/>
      <c r="G33" s="16"/>
      <c r="H33" s="52" t="s">
        <v>118</v>
      </c>
      <c r="I33" s="53"/>
      <c r="J33" s="53"/>
      <c r="K33" s="53"/>
      <c r="L33" s="53"/>
      <c r="M33" s="54"/>
    </row>
    <row r="34" spans="1:13" x14ac:dyDescent="0.25">
      <c r="A34" s="17"/>
      <c r="B34" s="51"/>
      <c r="C34" s="51"/>
      <c r="D34" s="16"/>
      <c r="E34" s="51"/>
      <c r="F34" s="51"/>
      <c r="G34" s="16"/>
      <c r="H34" s="52"/>
      <c r="I34" s="53"/>
      <c r="J34" s="53"/>
      <c r="K34" s="53"/>
      <c r="L34" s="53"/>
      <c r="M34" s="54"/>
    </row>
    <row r="35" spans="1:13" x14ac:dyDescent="0.25">
      <c r="A35" s="25" t="s">
        <v>118</v>
      </c>
      <c r="B35" s="51"/>
      <c r="C35" s="51"/>
      <c r="D35" s="16"/>
      <c r="E35" s="51"/>
      <c r="F35" s="51"/>
      <c r="G35" s="16"/>
      <c r="H35" s="52" t="s">
        <v>118</v>
      </c>
      <c r="I35" s="53"/>
      <c r="J35" s="53"/>
      <c r="K35" s="53"/>
      <c r="L35" s="53"/>
      <c r="M35" s="54"/>
    </row>
    <row r="36" spans="1:13" x14ac:dyDescent="0.25">
      <c r="A36" s="17"/>
      <c r="B36" s="51"/>
      <c r="C36" s="51"/>
      <c r="D36" s="16"/>
      <c r="E36" s="51"/>
      <c r="F36" s="51"/>
      <c r="G36" s="16"/>
      <c r="H36" s="52"/>
      <c r="I36" s="53"/>
      <c r="J36" s="53"/>
      <c r="K36" s="53"/>
      <c r="L36" s="53"/>
      <c r="M36" s="54"/>
    </row>
  </sheetData>
  <mergeCells count="48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  <mergeCell ref="B29:C29"/>
    <mergeCell ref="E29:F29"/>
    <mergeCell ref="H29:M29"/>
    <mergeCell ref="B30:C30"/>
    <mergeCell ref="E30:F30"/>
    <mergeCell ref="H30:M30"/>
    <mergeCell ref="B31:C31"/>
    <mergeCell ref="E31:F31"/>
    <mergeCell ref="H31:M31"/>
    <mergeCell ref="B32:C32"/>
    <mergeCell ref="E32:F32"/>
    <mergeCell ref="H32:M32"/>
    <mergeCell ref="B33:C33"/>
    <mergeCell ref="E33:F33"/>
    <mergeCell ref="H33:M33"/>
    <mergeCell ref="B34:C34"/>
    <mergeCell ref="E34:F34"/>
    <mergeCell ref="H34:M34"/>
    <mergeCell ref="B35:C35"/>
    <mergeCell ref="E35:F35"/>
    <mergeCell ref="H35:M35"/>
    <mergeCell ref="B36:C36"/>
    <mergeCell ref="E36:F36"/>
    <mergeCell ref="H36:M36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Planilha90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16</v>
      </c>
      <c r="B1" s="50">
        <f>A1/260</f>
        <v>6.1538461538461542E-2</v>
      </c>
      <c r="C1" s="50">
        <f>1-B1</f>
        <v>0.93846153846153846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106</v>
      </c>
      <c r="E3" s="4"/>
      <c r="F3" s="4"/>
      <c r="G3" s="4"/>
      <c r="H3" s="4"/>
      <c r="I3" s="4"/>
      <c r="J3" s="4"/>
      <c r="N3" t="s">
        <v>2</v>
      </c>
      <c r="O3" s="4"/>
      <c r="P3" s="24">
        <v>44333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 t="s">
        <v>170</v>
      </c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1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 t="s">
        <v>114</v>
      </c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 t="s">
        <v>170</v>
      </c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2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 t="s">
        <v>170</v>
      </c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26" t="s">
        <v>113</v>
      </c>
      <c r="AH10">
        <f t="shared" si="0"/>
        <v>2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26" t="s">
        <v>113</v>
      </c>
      <c r="W11" s="9"/>
      <c r="X11" s="10"/>
      <c r="Y11" s="10"/>
      <c r="Z11" s="9"/>
      <c r="AA11" s="9"/>
      <c r="AB11" s="9"/>
      <c r="AC11" s="26" t="s">
        <v>114</v>
      </c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26" t="s">
        <v>149</v>
      </c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26" t="s">
        <v>116</v>
      </c>
      <c r="Q13" s="26" t="s">
        <v>116</v>
      </c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2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26" t="s">
        <v>175</v>
      </c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26" t="s">
        <v>114</v>
      </c>
      <c r="AA15" s="9"/>
      <c r="AB15" s="10"/>
      <c r="AC15" s="10"/>
      <c r="AD15" s="26" t="s">
        <v>113</v>
      </c>
      <c r="AE15" s="26" t="s">
        <v>113</v>
      </c>
      <c r="AF15" s="26" t="s">
        <v>113</v>
      </c>
      <c r="AH15">
        <f t="shared" si="0"/>
        <v>4</v>
      </c>
    </row>
    <row r="16" spans="1:34" ht="15.5" x14ac:dyDescent="0.3">
      <c r="A16" s="19" t="s">
        <v>11</v>
      </c>
      <c r="B16" s="36" t="s">
        <v>113</v>
      </c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44727</v>
      </c>
      <c r="B23" s="51"/>
      <c r="C23" s="51"/>
      <c r="D23" s="16"/>
      <c r="E23" s="51"/>
      <c r="F23" s="51"/>
      <c r="G23" s="16"/>
      <c r="H23" s="62" t="s">
        <v>194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  <pageSetup orientation="portrait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Planilha91"/>
  <dimension ref="A1:AH28"/>
  <sheetViews>
    <sheetView workbookViewId="0">
      <selection activeCell="AR51" sqref="AR51"/>
    </sheetView>
  </sheetViews>
  <sheetFormatPr defaultRowHeight="12.5" x14ac:dyDescent="0.25"/>
  <sheetData>
    <row r="1" spans="1:34" ht="18" x14ac:dyDescent="0.4">
      <c r="A1" s="1">
        <f>COUNTA(B8:AF19)</f>
        <v>27</v>
      </c>
      <c r="B1" s="50">
        <f>A1/260</f>
        <v>0.10384615384615385</v>
      </c>
      <c r="C1" s="50">
        <f>1-B1</f>
        <v>0.89615384615384619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192</v>
      </c>
      <c r="E3" s="4"/>
      <c r="F3" s="4"/>
      <c r="G3" s="4"/>
      <c r="H3" s="4"/>
      <c r="I3" s="4"/>
      <c r="J3" s="4"/>
      <c r="N3" t="s">
        <v>2</v>
      </c>
      <c r="O3" s="4"/>
      <c r="P3" s="24">
        <v>44690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26" t="s">
        <v>114</v>
      </c>
      <c r="M12" s="26" t="s">
        <v>116</v>
      </c>
      <c r="N12" s="9"/>
      <c r="O12" s="10"/>
      <c r="P12" s="10"/>
      <c r="Q12" s="9"/>
      <c r="R12" s="26" t="s">
        <v>179</v>
      </c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26" t="s">
        <v>179</v>
      </c>
      <c r="AH12">
        <f t="shared" si="0"/>
        <v>4</v>
      </c>
    </row>
    <row r="13" spans="1:34" ht="15.5" x14ac:dyDescent="0.25">
      <c r="A13" s="19" t="s">
        <v>8</v>
      </c>
      <c r="B13" s="16"/>
      <c r="C13" s="28" t="s">
        <v>179</v>
      </c>
      <c r="D13" s="16"/>
      <c r="E13" s="10"/>
      <c r="F13" s="10"/>
      <c r="G13" s="9"/>
      <c r="H13" s="9"/>
      <c r="I13" s="26" t="s">
        <v>114</v>
      </c>
      <c r="J13" s="9"/>
      <c r="K13" s="9"/>
      <c r="L13" s="10"/>
      <c r="M13" s="10"/>
      <c r="N13" s="9"/>
      <c r="O13" s="9"/>
      <c r="P13" s="9"/>
      <c r="Q13" s="26" t="s">
        <v>114</v>
      </c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3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9"/>
      <c r="U14" s="9"/>
      <c r="V14" s="26" t="s">
        <v>179</v>
      </c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1</v>
      </c>
    </row>
    <row r="15" spans="1:34" ht="15.5" x14ac:dyDescent="0.25">
      <c r="A15" s="19" t="s">
        <v>10</v>
      </c>
      <c r="B15" s="28" t="s">
        <v>116</v>
      </c>
      <c r="C15" s="28" t="s">
        <v>116</v>
      </c>
      <c r="D15" s="28" t="s">
        <v>116</v>
      </c>
      <c r="E15" s="28" t="s">
        <v>116</v>
      </c>
      <c r="F15" s="9"/>
      <c r="G15" s="10"/>
      <c r="H15" s="10"/>
      <c r="I15" s="9"/>
      <c r="J15" s="26" t="s">
        <v>114</v>
      </c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114</v>
      </c>
      <c r="X15" s="26" t="s">
        <v>116</v>
      </c>
      <c r="Y15" s="26" t="s">
        <v>116</v>
      </c>
      <c r="Z15" s="26" t="s">
        <v>116</v>
      </c>
      <c r="AA15" s="9"/>
      <c r="AB15" s="10"/>
      <c r="AC15" s="10"/>
      <c r="AD15" s="26" t="s">
        <v>114</v>
      </c>
      <c r="AE15" s="9"/>
      <c r="AF15" s="9"/>
      <c r="AH15">
        <f t="shared" si="0"/>
        <v>10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26" t="s">
        <v>114</v>
      </c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26" t="s">
        <v>114</v>
      </c>
      <c r="U16" s="9"/>
      <c r="V16" s="9"/>
      <c r="W16" s="9"/>
      <c r="X16" s="9"/>
      <c r="Y16" s="10"/>
      <c r="Z16" s="10"/>
      <c r="AA16" s="9"/>
      <c r="AB16" s="9"/>
      <c r="AC16" s="26" t="s">
        <v>114</v>
      </c>
      <c r="AD16" s="9"/>
      <c r="AE16" s="9"/>
      <c r="AF16" s="22"/>
      <c r="AH16">
        <f t="shared" si="0"/>
        <v>3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26" t="s">
        <v>114</v>
      </c>
      <c r="M17" s="9"/>
      <c r="N17" s="9"/>
      <c r="O17" s="9"/>
      <c r="P17" s="10"/>
      <c r="Q17" s="10"/>
      <c r="R17" s="26" t="s">
        <v>114</v>
      </c>
      <c r="S17" s="26" t="s">
        <v>116</v>
      </c>
      <c r="T17" s="9"/>
      <c r="U17" s="9"/>
      <c r="V17" s="9"/>
      <c r="W17" s="10"/>
      <c r="X17" s="10"/>
      <c r="Y17" s="26" t="s">
        <v>114</v>
      </c>
      <c r="Z17" s="9"/>
      <c r="AA17" s="9"/>
      <c r="AB17" s="9"/>
      <c r="AC17" s="9"/>
      <c r="AD17" s="10"/>
      <c r="AE17" s="10"/>
      <c r="AF17" s="9"/>
      <c r="AH17">
        <f t="shared" si="0"/>
        <v>4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26" t="s">
        <v>179</v>
      </c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184</v>
      </c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44774</v>
      </c>
      <c r="B23" s="51"/>
      <c r="C23" s="51"/>
      <c r="D23" s="16"/>
      <c r="E23" s="51"/>
      <c r="F23" s="51"/>
      <c r="G23" s="16"/>
      <c r="H23" s="62" t="s">
        <v>194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V1:W1"/>
    <mergeCell ref="A5:J5"/>
    <mergeCell ref="B6:C6"/>
    <mergeCell ref="E6:F6"/>
    <mergeCell ref="H6:J6"/>
    <mergeCell ref="H22:M22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Planilha92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3</v>
      </c>
      <c r="B1" s="50">
        <f>A1/260</f>
        <v>1.1538461538461539E-2</v>
      </c>
      <c r="C1" s="50">
        <f>1-B1</f>
        <v>0.9884615384615385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107</v>
      </c>
      <c r="E3" s="4"/>
      <c r="F3" s="4"/>
      <c r="G3" s="4"/>
      <c r="H3" s="4"/>
      <c r="I3" s="4"/>
      <c r="J3" s="4"/>
      <c r="N3" t="s">
        <v>2</v>
      </c>
      <c r="O3" s="4"/>
      <c r="P3" s="24">
        <v>44650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26" t="s">
        <v>113</v>
      </c>
      <c r="Y15" s="26" t="s">
        <v>113</v>
      </c>
      <c r="Z15" s="26" t="s">
        <v>113</v>
      </c>
      <c r="AA15" s="9"/>
      <c r="AB15" s="10"/>
      <c r="AC15" s="10"/>
      <c r="AD15" s="9"/>
      <c r="AE15" s="9"/>
      <c r="AF15" s="9"/>
      <c r="AH15">
        <f t="shared" si="0"/>
        <v>3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Planilha93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70</v>
      </c>
      <c r="B1" s="50">
        <f>A1/260</f>
        <v>0.26923076923076922</v>
      </c>
      <c r="C1" s="50">
        <f>1-B1</f>
        <v>0.73076923076923084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108</v>
      </c>
      <c r="E3" s="4"/>
      <c r="F3" s="4"/>
      <c r="G3" s="4"/>
      <c r="H3" s="4"/>
      <c r="I3" s="4"/>
      <c r="J3" s="4"/>
      <c r="N3" t="s">
        <v>2</v>
      </c>
      <c r="O3" s="4"/>
      <c r="P3" s="24">
        <v>44431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26" t="s">
        <v>125</v>
      </c>
      <c r="G8" s="26" t="s">
        <v>125</v>
      </c>
      <c r="H8" s="9"/>
      <c r="I8" s="10"/>
      <c r="J8" s="10"/>
      <c r="K8" s="9"/>
      <c r="L8" s="26" t="s">
        <v>114</v>
      </c>
      <c r="M8" s="9"/>
      <c r="N8" s="9"/>
      <c r="O8" s="9"/>
      <c r="P8" s="10"/>
      <c r="Q8" s="10"/>
      <c r="R8" s="26" t="s">
        <v>125</v>
      </c>
      <c r="S8" s="26" t="s">
        <v>170</v>
      </c>
      <c r="T8" s="26" t="s">
        <v>125</v>
      </c>
      <c r="U8" s="26" t="s">
        <v>125</v>
      </c>
      <c r="V8" s="9"/>
      <c r="W8" s="10"/>
      <c r="X8" s="10"/>
      <c r="Y8" s="26" t="s">
        <v>114</v>
      </c>
      <c r="Z8" s="9"/>
      <c r="AA8" s="9"/>
      <c r="AB8" s="26" t="s">
        <v>116</v>
      </c>
      <c r="AC8" s="9"/>
      <c r="AD8" s="10"/>
      <c r="AE8" s="10"/>
      <c r="AF8" s="26" t="s">
        <v>125</v>
      </c>
      <c r="AH8">
        <f>COUNTA(B8:AF8)</f>
        <v>10</v>
      </c>
    </row>
    <row r="9" spans="1:34" ht="15.5" x14ac:dyDescent="0.35">
      <c r="A9" s="19" t="s">
        <v>4</v>
      </c>
      <c r="B9" s="16"/>
      <c r="C9" s="30" t="s">
        <v>125</v>
      </c>
      <c r="D9" s="9"/>
      <c r="E9" s="9"/>
      <c r="F9" s="10"/>
      <c r="G9" s="10"/>
      <c r="H9" s="26" t="s">
        <v>125</v>
      </c>
      <c r="I9" s="9"/>
      <c r="J9" s="9"/>
      <c r="K9" s="9"/>
      <c r="L9" s="9"/>
      <c r="M9" s="10"/>
      <c r="N9" s="10"/>
      <c r="O9" s="9"/>
      <c r="P9" s="26" t="s">
        <v>125</v>
      </c>
      <c r="Q9" s="26" t="s">
        <v>171</v>
      </c>
      <c r="R9" s="26" t="s">
        <v>116</v>
      </c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5</v>
      </c>
    </row>
    <row r="10" spans="1:34" ht="15.5" x14ac:dyDescent="0.35">
      <c r="A10" s="19" t="s">
        <v>5</v>
      </c>
      <c r="B10" s="30" t="s">
        <v>125</v>
      </c>
      <c r="C10" s="30" t="s">
        <v>125</v>
      </c>
      <c r="D10" s="30" t="s">
        <v>125</v>
      </c>
      <c r="E10" s="16"/>
      <c r="F10" s="10"/>
      <c r="G10" s="10"/>
      <c r="H10" s="26" t="s">
        <v>125</v>
      </c>
      <c r="I10" s="9"/>
      <c r="J10" s="26" t="s">
        <v>125</v>
      </c>
      <c r="K10" s="9"/>
      <c r="L10" s="9"/>
      <c r="M10" s="10"/>
      <c r="N10" s="10"/>
      <c r="O10" s="9"/>
      <c r="P10" s="26" t="s">
        <v>125</v>
      </c>
      <c r="Q10" s="26" t="s">
        <v>114</v>
      </c>
      <c r="R10" s="26" t="s">
        <v>116</v>
      </c>
      <c r="S10" s="9"/>
      <c r="T10" s="10"/>
      <c r="U10" s="10"/>
      <c r="V10" s="9"/>
      <c r="W10" s="9"/>
      <c r="X10" s="9"/>
      <c r="Y10" s="26" t="s">
        <v>125</v>
      </c>
      <c r="Z10" s="9"/>
      <c r="AA10" s="10"/>
      <c r="AB10" s="10"/>
      <c r="AC10" s="9"/>
      <c r="AD10" s="9"/>
      <c r="AE10" s="9"/>
      <c r="AF10" s="26" t="s">
        <v>125</v>
      </c>
      <c r="AH10">
        <f t="shared" si="0"/>
        <v>10</v>
      </c>
    </row>
    <row r="11" spans="1:34" ht="15.5" x14ac:dyDescent="0.25">
      <c r="A11" s="19" t="s">
        <v>6</v>
      </c>
      <c r="B11" s="16"/>
      <c r="C11" s="10"/>
      <c r="D11" s="10"/>
      <c r="E11" s="16"/>
      <c r="F11" s="26" t="s">
        <v>125</v>
      </c>
      <c r="G11" s="26" t="s">
        <v>114</v>
      </c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26" t="s">
        <v>114</v>
      </c>
      <c r="U11" s="9"/>
      <c r="V11" s="26" t="s">
        <v>145</v>
      </c>
      <c r="W11" s="9"/>
      <c r="X11" s="10"/>
      <c r="Y11" s="10"/>
      <c r="Z11" s="9"/>
      <c r="AA11" s="26" t="s">
        <v>139</v>
      </c>
      <c r="AB11" s="26" t="s">
        <v>114</v>
      </c>
      <c r="AC11" s="9"/>
      <c r="AD11" s="9"/>
      <c r="AE11" s="10"/>
      <c r="AF11" s="22"/>
      <c r="AH11">
        <f t="shared" si="0"/>
        <v>6</v>
      </c>
    </row>
    <row r="12" spans="1:34" ht="15.5" x14ac:dyDescent="0.25">
      <c r="A12" s="19" t="s">
        <v>7</v>
      </c>
      <c r="B12" s="16"/>
      <c r="C12" s="16"/>
      <c r="D12" s="16"/>
      <c r="E12" s="16"/>
      <c r="F12" s="26" t="s">
        <v>139</v>
      </c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26" t="s">
        <v>184</v>
      </c>
      <c r="T12" s="9"/>
      <c r="U12" s="9"/>
      <c r="V12" s="10"/>
      <c r="W12" s="10"/>
      <c r="X12" s="9"/>
      <c r="Y12" s="9"/>
      <c r="Z12" s="26" t="s">
        <v>114</v>
      </c>
      <c r="AA12" s="9"/>
      <c r="AB12" s="9"/>
      <c r="AC12" s="10"/>
      <c r="AD12" s="10"/>
      <c r="AE12" s="9"/>
      <c r="AF12" s="9"/>
      <c r="AH12">
        <f t="shared" si="0"/>
        <v>3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26" t="s">
        <v>184</v>
      </c>
      <c r="J13" s="26" t="s">
        <v>184</v>
      </c>
      <c r="K13" s="9"/>
      <c r="L13" s="10"/>
      <c r="M13" s="10"/>
      <c r="N13" s="9"/>
      <c r="O13" s="9"/>
      <c r="P13" s="9"/>
      <c r="Q13" s="9"/>
      <c r="R13" s="9"/>
      <c r="S13" s="10"/>
      <c r="T13" s="10"/>
      <c r="U13" s="26" t="s">
        <v>179</v>
      </c>
      <c r="V13" s="26" t="s">
        <v>114</v>
      </c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4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26" t="s">
        <v>179</v>
      </c>
      <c r="H14" s="9"/>
      <c r="I14" s="9"/>
      <c r="J14" s="10"/>
      <c r="K14" s="10"/>
      <c r="L14" s="9"/>
      <c r="M14" s="9"/>
      <c r="N14" s="9"/>
      <c r="O14" s="9"/>
      <c r="P14" s="10"/>
      <c r="Q14" s="10"/>
      <c r="R14" s="10"/>
      <c r="S14" s="9"/>
      <c r="T14" s="26" t="s">
        <v>179</v>
      </c>
      <c r="U14" s="9"/>
      <c r="V14" s="9"/>
      <c r="W14" s="9"/>
      <c r="X14" s="10"/>
      <c r="Y14" s="10"/>
      <c r="Z14" s="9"/>
      <c r="AA14" s="26" t="s">
        <v>114</v>
      </c>
      <c r="AB14" s="9"/>
      <c r="AC14" s="9"/>
      <c r="AD14" s="9"/>
      <c r="AE14" s="10"/>
      <c r="AF14" s="10"/>
      <c r="AH14">
        <f t="shared" si="0"/>
        <v>3</v>
      </c>
    </row>
    <row r="15" spans="1:34" ht="15.5" x14ac:dyDescent="0.25">
      <c r="A15" s="19" t="s">
        <v>10</v>
      </c>
      <c r="B15" s="29" t="s">
        <v>116</v>
      </c>
      <c r="C15" s="29" t="s">
        <v>116</v>
      </c>
      <c r="D15" s="29" t="s">
        <v>116</v>
      </c>
      <c r="E15" s="29" t="s">
        <v>116</v>
      </c>
      <c r="F15" s="9"/>
      <c r="G15" s="10"/>
      <c r="H15" s="10"/>
      <c r="I15" s="29" t="s">
        <v>116</v>
      </c>
      <c r="J15" s="29" t="s">
        <v>116</v>
      </c>
      <c r="K15" s="29" t="s">
        <v>116</v>
      </c>
      <c r="L15" s="29" t="s">
        <v>116</v>
      </c>
      <c r="M15" s="9"/>
      <c r="N15" s="10"/>
      <c r="O15" s="10"/>
      <c r="P15" s="29" t="s">
        <v>116</v>
      </c>
      <c r="Q15" s="29" t="s">
        <v>116</v>
      </c>
      <c r="R15" s="29" t="s">
        <v>116</v>
      </c>
      <c r="S15" s="29" t="s">
        <v>116</v>
      </c>
      <c r="T15" s="9"/>
      <c r="U15" s="10"/>
      <c r="V15" s="10"/>
      <c r="W15" s="29" t="s">
        <v>116</v>
      </c>
      <c r="X15" s="29" t="s">
        <v>116</v>
      </c>
      <c r="Y15" s="29" t="s">
        <v>116</v>
      </c>
      <c r="Z15" s="29" t="s">
        <v>116</v>
      </c>
      <c r="AA15" s="9"/>
      <c r="AB15" s="10"/>
      <c r="AC15" s="10"/>
      <c r="AD15" s="26" t="s">
        <v>184</v>
      </c>
      <c r="AE15" s="26" t="s">
        <v>184</v>
      </c>
      <c r="AF15" s="9"/>
      <c r="AH15">
        <f t="shared" si="0"/>
        <v>18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26" t="s">
        <v>114</v>
      </c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26" t="s">
        <v>114</v>
      </c>
      <c r="V17" s="9"/>
      <c r="W17" s="10"/>
      <c r="X17" s="10"/>
      <c r="Y17" s="9"/>
      <c r="Z17" s="9"/>
      <c r="AA17" s="26" t="s">
        <v>179</v>
      </c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26" t="s">
        <v>114</v>
      </c>
      <c r="K18" s="9"/>
      <c r="L18" s="9"/>
      <c r="M18" s="10"/>
      <c r="N18" s="10"/>
      <c r="O18" s="26" t="s">
        <v>114</v>
      </c>
      <c r="P18" s="9"/>
      <c r="Q18" s="9"/>
      <c r="R18" s="26" t="s">
        <v>184</v>
      </c>
      <c r="S18" s="9"/>
      <c r="T18" s="10"/>
      <c r="U18" s="10"/>
      <c r="V18" s="26" t="s">
        <v>184</v>
      </c>
      <c r="W18" s="9"/>
      <c r="X18" s="9"/>
      <c r="Y18" s="9"/>
      <c r="Z18" s="9"/>
      <c r="AA18" s="10"/>
      <c r="AB18" s="10"/>
      <c r="AC18" s="9"/>
      <c r="AD18" s="26" t="s">
        <v>116</v>
      </c>
      <c r="AE18" s="26" t="s">
        <v>114</v>
      </c>
      <c r="AF18" s="22"/>
      <c r="AH18">
        <f t="shared" si="0"/>
        <v>6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26" t="s">
        <v>114</v>
      </c>
      <c r="O19" s="9"/>
      <c r="P19" s="9"/>
      <c r="Q19" s="9"/>
      <c r="R19" s="10"/>
      <c r="S19" s="10"/>
      <c r="T19" s="26" t="s">
        <v>179</v>
      </c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2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>
        <v>44679</v>
      </c>
      <c r="B23" s="51" t="s">
        <v>164</v>
      </c>
      <c r="C23" s="51"/>
      <c r="D23" s="16"/>
      <c r="E23" s="51"/>
      <c r="F23" s="51"/>
      <c r="G23" s="16"/>
      <c r="H23" s="62" t="s">
        <v>165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>
        <v>44774</v>
      </c>
      <c r="B24" s="51"/>
      <c r="C24" s="51"/>
      <c r="D24" s="16"/>
      <c r="E24" s="51"/>
      <c r="F24" s="51"/>
      <c r="G24" s="16"/>
      <c r="H24" s="52" t="s">
        <v>203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Planilha94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20</v>
      </c>
      <c r="B1" s="50">
        <f>A1/260</f>
        <v>7.6923076923076927E-2</v>
      </c>
      <c r="C1" s="50">
        <f>1-B1</f>
        <v>0.92307692307692313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109</v>
      </c>
      <c r="E3" s="4"/>
      <c r="F3" s="4"/>
      <c r="G3" s="4"/>
      <c r="H3" s="4"/>
      <c r="I3" s="4"/>
      <c r="J3" s="4"/>
      <c r="N3" t="s">
        <v>2</v>
      </c>
      <c r="O3" s="4"/>
      <c r="P3" s="24">
        <v>44039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26" t="s">
        <v>170</v>
      </c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1</v>
      </c>
    </row>
    <row r="9" spans="1:34" ht="15.5" x14ac:dyDescent="0.35">
      <c r="A9" s="19" t="s">
        <v>4</v>
      </c>
      <c r="B9" s="16"/>
      <c r="C9" s="30" t="s">
        <v>116</v>
      </c>
      <c r="D9" s="26" t="s">
        <v>172</v>
      </c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26" t="s">
        <v>125</v>
      </c>
      <c r="AD9" s="22"/>
      <c r="AE9" s="22"/>
      <c r="AF9" s="22"/>
      <c r="AH9">
        <f t="shared" ref="AH9:AH19" si="0">COUNTA(B9:AF9)</f>
        <v>3</v>
      </c>
    </row>
    <row r="10" spans="1:34" ht="15.5" x14ac:dyDescent="0.35">
      <c r="A10" s="19" t="s">
        <v>5</v>
      </c>
      <c r="B10" s="16"/>
      <c r="C10" s="30" t="s">
        <v>170</v>
      </c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1</v>
      </c>
    </row>
    <row r="11" spans="1:34" ht="15.5" x14ac:dyDescent="0.25">
      <c r="A11" s="19" t="s">
        <v>6</v>
      </c>
      <c r="B11" s="16"/>
      <c r="C11" s="10"/>
      <c r="D11" s="10"/>
      <c r="E11" s="33" t="s">
        <v>142</v>
      </c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26" t="s">
        <v>157</v>
      </c>
      <c r="AA11" s="9"/>
      <c r="AB11" s="9"/>
      <c r="AC11" s="9"/>
      <c r="AD11" s="9"/>
      <c r="AE11" s="10"/>
      <c r="AF11" s="22"/>
      <c r="AH11">
        <f t="shared" si="0"/>
        <v>2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28" t="s">
        <v>114</v>
      </c>
      <c r="C15" s="29" t="s">
        <v>116</v>
      </c>
      <c r="D15" s="29" t="s">
        <v>116</v>
      </c>
      <c r="E15" s="29" t="s">
        <v>116</v>
      </c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26" t="s">
        <v>114</v>
      </c>
      <c r="Z15" s="9"/>
      <c r="AA15" s="9"/>
      <c r="AB15" s="10"/>
      <c r="AC15" s="10"/>
      <c r="AD15" s="9"/>
      <c r="AE15" s="26" t="s">
        <v>114</v>
      </c>
      <c r="AF15" s="9"/>
      <c r="AH15">
        <f t="shared" si="0"/>
        <v>6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26" t="s">
        <v>240</v>
      </c>
      <c r="AA17" s="26" t="s">
        <v>141</v>
      </c>
      <c r="AB17" s="26" t="s">
        <v>141</v>
      </c>
      <c r="AC17" s="9"/>
      <c r="AD17" s="10"/>
      <c r="AE17" s="10"/>
      <c r="AF17" s="26" t="s">
        <v>241</v>
      </c>
      <c r="AH17">
        <f t="shared" si="0"/>
        <v>4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26" t="s">
        <v>178</v>
      </c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26" t="s">
        <v>116</v>
      </c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29" t="s">
        <v>116</v>
      </c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1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  <pageSetup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Planilha95"/>
  <dimension ref="A1:AH28"/>
  <sheetViews>
    <sheetView workbookViewId="0">
      <selection activeCell="AR51" sqref="AR51"/>
    </sheetView>
  </sheetViews>
  <sheetFormatPr defaultRowHeight="12.5" x14ac:dyDescent="0.25"/>
  <cols>
    <col min="1" max="1" width="7.81640625" customWidth="1"/>
    <col min="2" max="2" width="8.453125" customWidth="1"/>
    <col min="4" max="4" width="7.453125" customWidth="1"/>
    <col min="5" max="5" width="7.54296875" customWidth="1"/>
    <col min="6" max="6" width="4" customWidth="1"/>
    <col min="7" max="7" width="7.54296875" customWidth="1"/>
    <col min="8" max="8" width="8.54296875" customWidth="1"/>
    <col min="9" max="9" width="7.81640625" customWidth="1"/>
    <col min="10" max="10" width="8" customWidth="1"/>
    <col min="11" max="11" width="7.54296875" customWidth="1"/>
    <col min="12" max="12" width="8.1796875" customWidth="1"/>
    <col min="13" max="13" width="7.453125" customWidth="1"/>
    <col min="14" max="14" width="7.1796875" customWidth="1"/>
    <col min="15" max="15" width="11.54296875" customWidth="1"/>
    <col min="16" max="16" width="8" customWidth="1"/>
    <col min="17" max="17" width="7.81640625" customWidth="1"/>
    <col min="18" max="18" width="8.453125" customWidth="1"/>
    <col min="19" max="19" width="7.81640625" customWidth="1"/>
    <col min="20" max="20" width="8" customWidth="1"/>
    <col min="21" max="22" width="8.81640625" customWidth="1"/>
    <col min="23" max="23" width="8.1796875" customWidth="1"/>
    <col min="24" max="24" width="7.81640625" customWidth="1"/>
    <col min="25" max="25" width="8.54296875" customWidth="1"/>
    <col min="26" max="26" width="7.81640625" customWidth="1"/>
    <col min="27" max="28" width="7.1796875" customWidth="1"/>
    <col min="29" max="29" width="7.453125" customWidth="1"/>
    <col min="30" max="30" width="7.81640625" customWidth="1"/>
    <col min="31" max="31" width="8.1796875" customWidth="1"/>
    <col min="32" max="32" width="9.1796875" customWidth="1"/>
  </cols>
  <sheetData>
    <row r="1" spans="1:34" ht="18" x14ac:dyDescent="0.4">
      <c r="A1" s="1">
        <f>COUNTA(B8:AF19)</f>
        <v>5</v>
      </c>
      <c r="B1" s="50">
        <f>A1/260</f>
        <v>1.9230769230769232E-2</v>
      </c>
      <c r="C1" s="50">
        <f>1-B1</f>
        <v>0.98076923076923073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219</v>
      </c>
      <c r="E3" s="4"/>
      <c r="F3" s="4"/>
      <c r="G3" s="4"/>
      <c r="H3" s="4"/>
      <c r="I3" s="4"/>
      <c r="J3" s="4"/>
      <c r="L3" t="s">
        <v>2</v>
      </c>
      <c r="O3" s="23">
        <v>44823</v>
      </c>
      <c r="P3" s="4"/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0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9"/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0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0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0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26" t="s">
        <v>114</v>
      </c>
      <c r="P18" s="26" t="s">
        <v>116</v>
      </c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2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26" t="s">
        <v>179</v>
      </c>
      <c r="I19" s="9"/>
      <c r="J19" s="9"/>
      <c r="K19" s="10"/>
      <c r="L19" s="10"/>
      <c r="M19" s="26" t="s">
        <v>114</v>
      </c>
      <c r="N19" s="26" t="s">
        <v>116</v>
      </c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3</v>
      </c>
    </row>
    <row r="20" spans="1:34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4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O22" t="s">
        <v>21</v>
      </c>
      <c r="T22" t="s">
        <v>24</v>
      </c>
      <c r="Z22" t="s">
        <v>26</v>
      </c>
      <c r="AF22" s="5"/>
    </row>
    <row r="23" spans="1:34" x14ac:dyDescent="0.25">
      <c r="A23" s="17"/>
      <c r="B23" s="51"/>
      <c r="C23" s="51"/>
      <c r="D23" s="16"/>
      <c r="E23" s="51"/>
      <c r="F23" s="51"/>
      <c r="G23" s="16"/>
      <c r="H23" s="52"/>
      <c r="I23" s="53"/>
      <c r="J23" s="53"/>
      <c r="K23" s="53"/>
      <c r="L23" s="53"/>
      <c r="M23" s="54"/>
      <c r="O23" t="s">
        <v>22</v>
      </c>
      <c r="T23" t="s">
        <v>25</v>
      </c>
      <c r="Z23" s="20" t="s">
        <v>32</v>
      </c>
      <c r="AF23" s="5"/>
    </row>
    <row r="24" spans="1:34" x14ac:dyDescent="0.25">
      <c r="A24" s="17"/>
      <c r="B24" s="51"/>
      <c r="C24" s="51"/>
      <c r="D24" s="16"/>
      <c r="E24" s="51"/>
      <c r="F24" s="51"/>
      <c r="G24" s="16"/>
      <c r="H24" s="52"/>
      <c r="I24" s="53"/>
      <c r="J24" s="53"/>
      <c r="K24" s="53"/>
      <c r="L24" s="53"/>
      <c r="M24" s="54"/>
      <c r="O24" t="s">
        <v>23</v>
      </c>
      <c r="T24" s="20" t="s">
        <v>29</v>
      </c>
      <c r="Z24" t="s">
        <v>27</v>
      </c>
      <c r="AF24" s="5"/>
    </row>
    <row r="25" spans="1:34" x14ac:dyDescent="0.25">
      <c r="A25" s="17"/>
      <c r="B25" s="51"/>
      <c r="C25" s="51"/>
      <c r="D25" s="16"/>
      <c r="E25" s="51"/>
      <c r="F25" s="51"/>
      <c r="G25" s="16"/>
      <c r="H25" s="52"/>
      <c r="I25" s="53"/>
      <c r="J25" s="53"/>
      <c r="K25" s="53"/>
      <c r="L25" s="53"/>
      <c r="M25" s="54"/>
      <c r="O25" s="20" t="s">
        <v>30</v>
      </c>
      <c r="Z25" t="s">
        <v>28</v>
      </c>
      <c r="AF25" s="5"/>
    </row>
    <row r="26" spans="1:34" x14ac:dyDescent="0.25">
      <c r="A26" s="17"/>
      <c r="B26" s="51"/>
      <c r="C26" s="51"/>
      <c r="D26" s="16"/>
      <c r="E26" s="51"/>
      <c r="F26" s="51"/>
      <c r="G26" s="16"/>
      <c r="H26" s="52"/>
      <c r="I26" s="53"/>
      <c r="J26" s="53"/>
      <c r="K26" s="53"/>
      <c r="L26" s="53"/>
      <c r="M26" s="54"/>
      <c r="O26" s="20" t="s">
        <v>31</v>
      </c>
      <c r="AF26" s="5"/>
    </row>
    <row r="27" spans="1:34" x14ac:dyDescent="0.25">
      <c r="A27" s="17"/>
      <c r="B27" s="51"/>
      <c r="C27" s="51"/>
      <c r="D27" s="16"/>
      <c r="E27" s="51"/>
      <c r="F27" s="51"/>
      <c r="G27" s="16"/>
      <c r="H27" s="52"/>
      <c r="I27" s="53"/>
      <c r="J27" s="53"/>
      <c r="K27" s="53"/>
      <c r="L27" s="53"/>
      <c r="M27" s="54"/>
      <c r="AF27" s="5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  <c r="AF28" s="5"/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Planilha96"/>
  <dimension ref="A1:AH28"/>
  <sheetViews>
    <sheetView workbookViewId="0">
      <selection activeCell="AR51" sqref="AR51"/>
    </sheetView>
  </sheetViews>
  <sheetFormatPr defaultRowHeight="12.5" x14ac:dyDescent="0.25"/>
  <cols>
    <col min="1" max="1" width="11.1796875" customWidth="1"/>
    <col min="2" max="3" width="7.81640625" customWidth="1"/>
    <col min="4" max="4" width="7.453125" customWidth="1"/>
    <col min="5" max="5" width="8.1796875" customWidth="1"/>
    <col min="6" max="6" width="8" customWidth="1"/>
    <col min="7" max="7" width="12.453125" customWidth="1"/>
    <col min="8" max="8" width="7.81640625" customWidth="1"/>
    <col min="9" max="9" width="8.1796875" customWidth="1"/>
    <col min="10" max="10" width="8.453125" customWidth="1"/>
    <col min="11" max="12" width="8.54296875" customWidth="1"/>
    <col min="13" max="13" width="8" customWidth="1"/>
    <col min="14" max="14" width="9.81640625" customWidth="1"/>
    <col min="15" max="15" width="7.81640625" customWidth="1"/>
    <col min="16" max="16" width="11" customWidth="1"/>
    <col min="17" max="17" width="7.81640625" customWidth="1"/>
    <col min="18" max="18" width="8.1796875" customWidth="1"/>
    <col min="19" max="19" width="7.54296875" customWidth="1"/>
    <col min="20" max="20" width="8" customWidth="1"/>
    <col min="22" max="22" width="8.81640625" customWidth="1"/>
    <col min="23" max="23" width="8.54296875" customWidth="1"/>
    <col min="24" max="24" width="8.81640625" customWidth="1"/>
    <col min="25" max="27" width="7.81640625" customWidth="1"/>
    <col min="28" max="28" width="7.453125" customWidth="1"/>
    <col min="29" max="29" width="7.1796875" customWidth="1"/>
    <col min="30" max="30" width="7.81640625" customWidth="1"/>
    <col min="31" max="31" width="7.54296875" customWidth="1"/>
    <col min="32" max="32" width="7.453125" customWidth="1"/>
  </cols>
  <sheetData>
    <row r="1" spans="1:34" ht="18" x14ac:dyDescent="0.4">
      <c r="A1" s="1">
        <f>COUNTA(B8:AF19)</f>
        <v>13</v>
      </c>
      <c r="B1" s="50">
        <f>A1/260</f>
        <v>0.05</v>
      </c>
      <c r="C1" s="50">
        <f>1-B1</f>
        <v>0.95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110</v>
      </c>
      <c r="E3" s="4"/>
      <c r="F3" s="4"/>
      <c r="G3" s="4"/>
      <c r="H3" s="4"/>
      <c r="I3" s="4"/>
      <c r="J3" s="4"/>
      <c r="N3" t="s">
        <v>2</v>
      </c>
      <c r="O3" s="4"/>
      <c r="P3" s="24">
        <v>42485</v>
      </c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26" t="s">
        <v>170</v>
      </c>
      <c r="H8" s="26" t="s">
        <v>114</v>
      </c>
      <c r="I8" s="10"/>
      <c r="J8" s="10"/>
      <c r="K8" s="9"/>
      <c r="L8" s="9"/>
      <c r="M8" s="9"/>
      <c r="N8" s="9"/>
      <c r="O8" s="9"/>
      <c r="P8" s="10"/>
      <c r="Q8" s="10"/>
      <c r="R8" s="26" t="s">
        <v>114</v>
      </c>
      <c r="S8" s="26" t="s">
        <v>125</v>
      </c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4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26" t="s">
        <v>116</v>
      </c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1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26" t="s">
        <v>114</v>
      </c>
      <c r="Z10" s="9"/>
      <c r="AA10" s="10"/>
      <c r="AB10" s="10"/>
      <c r="AC10" s="9"/>
      <c r="AD10" s="9"/>
      <c r="AE10" s="9"/>
      <c r="AF10" s="9"/>
      <c r="AH10">
        <f t="shared" si="0"/>
        <v>1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9"/>
      <c r="N11" s="9"/>
      <c r="O11" s="9"/>
      <c r="P11" s="9"/>
      <c r="Q11" s="10"/>
      <c r="R11" s="10"/>
      <c r="S11" s="26" t="s">
        <v>114</v>
      </c>
      <c r="T11" s="26" t="s">
        <v>113</v>
      </c>
      <c r="U11" s="26" t="s">
        <v>113</v>
      </c>
      <c r="V11" s="26" t="s">
        <v>113</v>
      </c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4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9"/>
      <c r="AH12">
        <f t="shared" si="0"/>
        <v>0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26" t="s">
        <v>114</v>
      </c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9"/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1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9"/>
      <c r="U16" s="9"/>
      <c r="V16" s="9"/>
      <c r="W16" s="9"/>
      <c r="X16" s="9"/>
      <c r="Y16" s="10"/>
      <c r="Z16" s="10"/>
      <c r="AA16" s="9"/>
      <c r="AB16" s="9"/>
      <c r="AC16" s="9"/>
      <c r="AD16" s="26" t="s">
        <v>114</v>
      </c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16"/>
      <c r="E17" s="16"/>
      <c r="F17" s="9"/>
      <c r="G17" s="9"/>
      <c r="H17" s="9"/>
      <c r="I17" s="10"/>
      <c r="J17" s="10"/>
      <c r="K17" s="26" t="s">
        <v>114</v>
      </c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9"/>
      <c r="AA17" s="9"/>
      <c r="AB17" s="9"/>
      <c r="AC17" s="9"/>
      <c r="AD17" s="10"/>
      <c r="AE17" s="10"/>
      <c r="AF17" s="9"/>
      <c r="AH17">
        <f t="shared" si="0"/>
        <v>1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9"/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0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9"/>
      <c r="N19" s="9"/>
      <c r="O19" s="9"/>
      <c r="P19" s="9"/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9"/>
      <c r="AE19" s="9"/>
      <c r="AF19" s="10"/>
      <c r="AH19">
        <f t="shared" si="0"/>
        <v>0</v>
      </c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</row>
  </sheetData>
  <mergeCells count="24">
    <mergeCell ref="B28:C28"/>
    <mergeCell ref="B23:C23"/>
    <mergeCell ref="E23:F23"/>
    <mergeCell ref="H23:M23"/>
    <mergeCell ref="B24:C24"/>
    <mergeCell ref="B27:C27"/>
    <mergeCell ref="E27:F27"/>
    <mergeCell ref="H27:M27"/>
    <mergeCell ref="E28:F28"/>
    <mergeCell ref="H28:M28"/>
    <mergeCell ref="B26:C26"/>
    <mergeCell ref="E26:F26"/>
    <mergeCell ref="H26:M26"/>
    <mergeCell ref="V1:W1"/>
    <mergeCell ref="A5:J5"/>
    <mergeCell ref="B6:C6"/>
    <mergeCell ref="E6:F6"/>
    <mergeCell ref="H6:J6"/>
    <mergeCell ref="H22:M22"/>
    <mergeCell ref="E24:F24"/>
    <mergeCell ref="H24:M24"/>
    <mergeCell ref="B25:C25"/>
    <mergeCell ref="E25:F25"/>
    <mergeCell ref="H25:M25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Planilha97"/>
  <dimension ref="A1:AH30"/>
  <sheetViews>
    <sheetView workbookViewId="0">
      <selection activeCell="AT67" sqref="AT67"/>
    </sheetView>
  </sheetViews>
  <sheetFormatPr defaultRowHeight="12.5" x14ac:dyDescent="0.25"/>
  <cols>
    <col min="1" max="1" width="7.81640625" customWidth="1"/>
    <col min="2" max="2" width="8" customWidth="1"/>
    <col min="3" max="3" width="7.81640625" customWidth="1"/>
    <col min="4" max="4" width="8.1796875" customWidth="1"/>
    <col min="5" max="6" width="7.81640625" customWidth="1"/>
    <col min="7" max="9" width="8.1796875" customWidth="1"/>
    <col min="10" max="10" width="8" customWidth="1"/>
    <col min="11" max="11" width="7.54296875" customWidth="1"/>
    <col min="12" max="12" width="7.81640625" customWidth="1"/>
    <col min="13" max="13" width="8.1796875" customWidth="1"/>
    <col min="14" max="14" width="7.54296875" customWidth="1"/>
    <col min="15" max="15" width="10.1796875" customWidth="1"/>
    <col min="16" max="20" width="7.81640625" customWidth="1"/>
    <col min="21" max="21" width="8.81640625" customWidth="1"/>
    <col min="22" max="22" width="9.1796875" customWidth="1"/>
    <col min="23" max="23" width="8.453125" customWidth="1"/>
    <col min="24" max="25" width="7.81640625" customWidth="1"/>
    <col min="26" max="26" width="8.81640625" customWidth="1"/>
    <col min="27" max="27" width="8" customWidth="1"/>
    <col min="28" max="28" width="7.54296875" customWidth="1"/>
    <col min="29" max="29" width="7.81640625" customWidth="1"/>
    <col min="30" max="30" width="8.1796875" customWidth="1"/>
    <col min="31" max="31" width="7.81640625" customWidth="1"/>
    <col min="32" max="32" width="8.1796875" customWidth="1"/>
  </cols>
  <sheetData>
    <row r="1" spans="1:34" ht="18" x14ac:dyDescent="0.4">
      <c r="A1" s="1">
        <f>COUNTA(B8:AF19)</f>
        <v>13</v>
      </c>
      <c r="B1" s="50">
        <f>A1/260</f>
        <v>0.05</v>
      </c>
      <c r="C1" s="50">
        <f>1-B1</f>
        <v>0.95</v>
      </c>
      <c r="V1" s="58">
        <v>2022</v>
      </c>
      <c r="W1" s="58"/>
      <c r="AF1" s="2" t="s">
        <v>20</v>
      </c>
    </row>
    <row r="2" spans="1:34" ht="18" x14ac:dyDescent="0.4">
      <c r="A2" s="1"/>
      <c r="AF2" s="2" t="s">
        <v>0</v>
      </c>
    </row>
    <row r="3" spans="1:34" ht="13" x14ac:dyDescent="0.3">
      <c r="A3" s="3" t="s">
        <v>1</v>
      </c>
      <c r="D3" s="4" t="s">
        <v>130</v>
      </c>
      <c r="E3" s="4"/>
      <c r="F3" s="4"/>
      <c r="G3" s="4"/>
      <c r="H3" s="4"/>
      <c r="I3" s="4"/>
      <c r="J3" s="4"/>
      <c r="L3" t="s">
        <v>2</v>
      </c>
      <c r="O3" s="23">
        <v>44662</v>
      </c>
      <c r="P3" s="4"/>
      <c r="Q3" s="4"/>
      <c r="R3" s="4"/>
      <c r="U3" s="18"/>
    </row>
    <row r="5" spans="1:34" x14ac:dyDescent="0.25">
      <c r="A5" s="59" t="s">
        <v>15</v>
      </c>
      <c r="B5" s="59"/>
      <c r="C5" s="59"/>
      <c r="D5" s="59"/>
      <c r="E5" s="59"/>
      <c r="F5" s="59"/>
      <c r="G5" s="59"/>
      <c r="H5" s="59"/>
      <c r="I5" s="59"/>
      <c r="J5" s="59"/>
      <c r="AF5" s="5"/>
    </row>
    <row r="6" spans="1:34" x14ac:dyDescent="0.25">
      <c r="A6" s="3"/>
      <c r="B6" s="60"/>
      <c r="C6" s="60"/>
      <c r="E6" s="60"/>
      <c r="F6" s="60"/>
      <c r="H6" s="60"/>
      <c r="I6" s="60"/>
      <c r="J6" s="60"/>
      <c r="AF6" s="5"/>
    </row>
    <row r="7" spans="1:34" ht="15.5" x14ac:dyDescent="0.25">
      <c r="A7" s="6"/>
      <c r="B7" s="7">
        <v>1</v>
      </c>
      <c r="C7" s="7">
        <v>2</v>
      </c>
      <c r="D7" s="7">
        <v>3</v>
      </c>
      <c r="E7" s="7">
        <v>4</v>
      </c>
      <c r="F7" s="7">
        <v>5</v>
      </c>
      <c r="G7" s="7">
        <v>6</v>
      </c>
      <c r="H7" s="7">
        <v>7</v>
      </c>
      <c r="I7" s="7">
        <v>8</v>
      </c>
      <c r="J7" s="7">
        <v>9</v>
      </c>
      <c r="K7" s="7">
        <v>10</v>
      </c>
      <c r="L7" s="7">
        <v>11</v>
      </c>
      <c r="M7" s="7">
        <v>12</v>
      </c>
      <c r="N7" s="7">
        <v>13</v>
      </c>
      <c r="O7" s="7">
        <v>14</v>
      </c>
      <c r="P7" s="7">
        <v>15</v>
      </c>
      <c r="Q7" s="7">
        <v>16</v>
      </c>
      <c r="R7" s="7">
        <v>17</v>
      </c>
      <c r="S7" s="7">
        <v>18</v>
      </c>
      <c r="T7" s="7">
        <v>19</v>
      </c>
      <c r="U7" s="7">
        <v>20</v>
      </c>
      <c r="V7" s="7">
        <v>21</v>
      </c>
      <c r="W7" s="7">
        <v>22</v>
      </c>
      <c r="X7" s="7">
        <v>23</v>
      </c>
      <c r="Y7" s="7">
        <v>24</v>
      </c>
      <c r="Z7" s="7">
        <v>25</v>
      </c>
      <c r="AA7" s="7">
        <v>26</v>
      </c>
      <c r="AB7" s="7">
        <v>27</v>
      </c>
      <c r="AC7" s="7">
        <v>28</v>
      </c>
      <c r="AD7" s="7">
        <v>29</v>
      </c>
      <c r="AE7" s="7">
        <v>30</v>
      </c>
      <c r="AF7" s="7">
        <v>31</v>
      </c>
    </row>
    <row r="8" spans="1:34" ht="15.5" x14ac:dyDescent="0.25">
      <c r="A8" s="19" t="s">
        <v>3</v>
      </c>
      <c r="B8" s="21"/>
      <c r="C8" s="10"/>
      <c r="D8" s="9"/>
      <c r="E8" s="9"/>
      <c r="F8" s="9"/>
      <c r="G8" s="9"/>
      <c r="H8" s="9"/>
      <c r="I8" s="10"/>
      <c r="J8" s="10"/>
      <c r="K8" s="9"/>
      <c r="L8" s="9"/>
      <c r="M8" s="9"/>
      <c r="N8" s="9"/>
      <c r="O8" s="9"/>
      <c r="P8" s="10"/>
      <c r="Q8" s="10"/>
      <c r="R8" s="9"/>
      <c r="S8" s="9"/>
      <c r="T8" s="9"/>
      <c r="U8" s="9"/>
      <c r="V8" s="9"/>
      <c r="W8" s="10"/>
      <c r="X8" s="10"/>
      <c r="Y8" s="9"/>
      <c r="Z8" s="9"/>
      <c r="AA8" s="9"/>
      <c r="AB8" s="9"/>
      <c r="AC8" s="9"/>
      <c r="AD8" s="10"/>
      <c r="AE8" s="10"/>
      <c r="AF8" s="9"/>
      <c r="AH8">
        <f>COUNTA(B8:AF8)</f>
        <v>0</v>
      </c>
    </row>
    <row r="9" spans="1:34" ht="15.5" x14ac:dyDescent="0.25">
      <c r="A9" s="19" t="s">
        <v>4</v>
      </c>
      <c r="B9" s="16"/>
      <c r="C9" s="16"/>
      <c r="D9" s="9"/>
      <c r="E9" s="9"/>
      <c r="F9" s="10"/>
      <c r="G9" s="10"/>
      <c r="H9" s="9"/>
      <c r="I9" s="9"/>
      <c r="J9" s="9"/>
      <c r="K9" s="9"/>
      <c r="L9" s="9"/>
      <c r="M9" s="10"/>
      <c r="N9" s="10"/>
      <c r="O9" s="9"/>
      <c r="P9" s="9"/>
      <c r="Q9" s="9"/>
      <c r="R9" s="9"/>
      <c r="S9" s="9"/>
      <c r="T9" s="10"/>
      <c r="U9" s="10"/>
      <c r="V9" s="9"/>
      <c r="W9" s="9"/>
      <c r="X9" s="9"/>
      <c r="Y9" s="9"/>
      <c r="Z9" s="9"/>
      <c r="AA9" s="10"/>
      <c r="AB9" s="10"/>
      <c r="AC9" s="9"/>
      <c r="AD9" s="22"/>
      <c r="AE9" s="22"/>
      <c r="AF9" s="22"/>
      <c r="AH9">
        <f t="shared" ref="AH9:AH19" si="0">COUNTA(B9:AF9)</f>
        <v>0</v>
      </c>
    </row>
    <row r="10" spans="1:34" ht="15.5" x14ac:dyDescent="0.25">
      <c r="A10" s="19" t="s">
        <v>5</v>
      </c>
      <c r="B10" s="16"/>
      <c r="C10" s="16"/>
      <c r="D10" s="16"/>
      <c r="E10" s="16"/>
      <c r="F10" s="10"/>
      <c r="G10" s="10"/>
      <c r="H10" s="9"/>
      <c r="I10" s="9"/>
      <c r="J10" s="9"/>
      <c r="K10" s="9"/>
      <c r="L10" s="9"/>
      <c r="M10" s="10"/>
      <c r="N10" s="10"/>
      <c r="O10" s="9"/>
      <c r="P10" s="9"/>
      <c r="Q10" s="9"/>
      <c r="R10" s="9"/>
      <c r="S10" s="9"/>
      <c r="T10" s="10"/>
      <c r="U10" s="10"/>
      <c r="V10" s="9"/>
      <c r="W10" s="9"/>
      <c r="X10" s="9"/>
      <c r="Y10" s="9"/>
      <c r="Z10" s="9"/>
      <c r="AA10" s="10"/>
      <c r="AB10" s="10"/>
      <c r="AC10" s="9"/>
      <c r="AD10" s="9"/>
      <c r="AE10" s="9"/>
      <c r="AF10" s="9"/>
      <c r="AH10">
        <f t="shared" si="0"/>
        <v>0</v>
      </c>
    </row>
    <row r="11" spans="1:34" ht="15.5" x14ac:dyDescent="0.25">
      <c r="A11" s="19" t="s">
        <v>6</v>
      </c>
      <c r="B11" s="16"/>
      <c r="C11" s="10"/>
      <c r="D11" s="10"/>
      <c r="E11" s="16"/>
      <c r="F11" s="9"/>
      <c r="G11" s="9"/>
      <c r="H11" s="9"/>
      <c r="I11" s="9"/>
      <c r="J11" s="10"/>
      <c r="K11" s="10"/>
      <c r="L11" s="9"/>
      <c r="M11" s="26" t="s">
        <v>125</v>
      </c>
      <c r="N11" s="9"/>
      <c r="O11" s="9"/>
      <c r="P11" s="9"/>
      <c r="Q11" s="10"/>
      <c r="R11" s="10"/>
      <c r="S11" s="9"/>
      <c r="T11" s="9"/>
      <c r="U11" s="9"/>
      <c r="V11" s="9"/>
      <c r="W11" s="9"/>
      <c r="X11" s="10"/>
      <c r="Y11" s="10"/>
      <c r="Z11" s="9"/>
      <c r="AA11" s="9"/>
      <c r="AB11" s="9"/>
      <c r="AC11" s="9"/>
      <c r="AD11" s="9"/>
      <c r="AE11" s="10"/>
      <c r="AF11" s="22"/>
      <c r="AH11">
        <f t="shared" si="0"/>
        <v>1</v>
      </c>
    </row>
    <row r="12" spans="1:34" ht="15.5" x14ac:dyDescent="0.25">
      <c r="A12" s="19" t="s">
        <v>7</v>
      </c>
      <c r="B12" s="16"/>
      <c r="C12" s="16"/>
      <c r="D12" s="16"/>
      <c r="E12" s="16"/>
      <c r="F12" s="9"/>
      <c r="G12" s="9"/>
      <c r="H12" s="10"/>
      <c r="I12" s="10"/>
      <c r="J12" s="9"/>
      <c r="K12" s="9"/>
      <c r="L12" s="9"/>
      <c r="M12" s="9"/>
      <c r="N12" s="9"/>
      <c r="O12" s="10"/>
      <c r="P12" s="10"/>
      <c r="Q12" s="9"/>
      <c r="R12" s="9"/>
      <c r="S12" s="9"/>
      <c r="T12" s="9"/>
      <c r="U12" s="9"/>
      <c r="V12" s="10"/>
      <c r="W12" s="10"/>
      <c r="X12" s="9"/>
      <c r="Y12" s="9"/>
      <c r="Z12" s="9"/>
      <c r="AA12" s="9"/>
      <c r="AB12" s="9"/>
      <c r="AC12" s="10"/>
      <c r="AD12" s="10"/>
      <c r="AE12" s="9"/>
      <c r="AF12" s="26" t="s">
        <v>178</v>
      </c>
      <c r="AH12">
        <f t="shared" si="0"/>
        <v>1</v>
      </c>
    </row>
    <row r="13" spans="1:34" ht="15.5" x14ac:dyDescent="0.25">
      <c r="A13" s="19" t="s">
        <v>8</v>
      </c>
      <c r="B13" s="16"/>
      <c r="C13" s="16"/>
      <c r="D13" s="16"/>
      <c r="E13" s="10"/>
      <c r="F13" s="10"/>
      <c r="G13" s="9"/>
      <c r="H13" s="9"/>
      <c r="I13" s="9"/>
      <c r="J13" s="9"/>
      <c r="K13" s="9"/>
      <c r="L13" s="10"/>
      <c r="M13" s="10"/>
      <c r="N13" s="9"/>
      <c r="O13" s="9"/>
      <c r="P13" s="9"/>
      <c r="Q13" s="9"/>
      <c r="R13" s="9"/>
      <c r="S13" s="10"/>
      <c r="T13" s="10"/>
      <c r="U13" s="9"/>
      <c r="V13" s="9"/>
      <c r="W13" s="9"/>
      <c r="X13" s="9"/>
      <c r="Y13" s="9"/>
      <c r="Z13" s="10"/>
      <c r="AA13" s="10"/>
      <c r="AB13" s="9"/>
      <c r="AC13" s="9"/>
      <c r="AD13" s="9"/>
      <c r="AE13" s="9"/>
      <c r="AF13" s="22"/>
      <c r="AH13">
        <f t="shared" si="0"/>
        <v>0</v>
      </c>
    </row>
    <row r="14" spans="1:34" ht="15.5" x14ac:dyDescent="0.25">
      <c r="A14" s="19" t="s">
        <v>9</v>
      </c>
      <c r="B14" s="16"/>
      <c r="C14" s="10"/>
      <c r="D14" s="10"/>
      <c r="E14" s="16"/>
      <c r="F14" s="9"/>
      <c r="G14" s="9"/>
      <c r="H14" s="9"/>
      <c r="I14" s="9"/>
      <c r="J14" s="10"/>
      <c r="K14" s="10"/>
      <c r="L14" s="9"/>
      <c r="M14" s="9"/>
      <c r="N14" s="9"/>
      <c r="O14" s="9"/>
      <c r="P14" s="10"/>
      <c r="Q14" s="10"/>
      <c r="R14" s="9"/>
      <c r="S14" s="9"/>
      <c r="T14" s="9"/>
      <c r="U14" s="9"/>
      <c r="V14" s="9"/>
      <c r="W14" s="9"/>
      <c r="X14" s="10"/>
      <c r="Y14" s="10"/>
      <c r="Z14" s="9"/>
      <c r="AA14" s="9"/>
      <c r="AB14" s="9"/>
      <c r="AC14" s="9"/>
      <c r="AD14" s="9"/>
      <c r="AE14" s="10"/>
      <c r="AF14" s="10"/>
      <c r="AH14">
        <f t="shared" si="0"/>
        <v>0</v>
      </c>
    </row>
    <row r="15" spans="1:34" ht="15.5" x14ac:dyDescent="0.25">
      <c r="A15" s="19" t="s">
        <v>10</v>
      </c>
      <c r="B15" s="16"/>
      <c r="C15" s="16"/>
      <c r="D15" s="16"/>
      <c r="E15" s="16"/>
      <c r="F15" s="9"/>
      <c r="G15" s="10"/>
      <c r="H15" s="10"/>
      <c r="I15" s="26" t="s">
        <v>114</v>
      </c>
      <c r="J15" s="9"/>
      <c r="K15" s="9"/>
      <c r="L15" s="9"/>
      <c r="M15" s="9"/>
      <c r="N15" s="10"/>
      <c r="O15" s="10"/>
      <c r="P15" s="9"/>
      <c r="Q15" s="9"/>
      <c r="R15" s="9"/>
      <c r="S15" s="9"/>
      <c r="T15" s="9"/>
      <c r="U15" s="10"/>
      <c r="V15" s="10"/>
      <c r="W15" s="26" t="s">
        <v>178</v>
      </c>
      <c r="X15" s="9"/>
      <c r="Y15" s="9"/>
      <c r="Z15" s="9"/>
      <c r="AA15" s="9"/>
      <c r="AB15" s="10"/>
      <c r="AC15" s="10"/>
      <c r="AD15" s="9"/>
      <c r="AE15" s="9"/>
      <c r="AF15" s="9"/>
      <c r="AH15">
        <f t="shared" si="0"/>
        <v>2</v>
      </c>
    </row>
    <row r="16" spans="1:34" ht="15.5" x14ac:dyDescent="0.25">
      <c r="A16" s="19" t="s">
        <v>11</v>
      </c>
      <c r="B16" s="16"/>
      <c r="C16" s="16"/>
      <c r="D16" s="10"/>
      <c r="E16" s="10"/>
      <c r="F16" s="9"/>
      <c r="G16" s="9"/>
      <c r="H16" s="9"/>
      <c r="I16" s="9"/>
      <c r="J16" s="9"/>
      <c r="K16" s="10"/>
      <c r="L16" s="10"/>
      <c r="M16" s="9"/>
      <c r="N16" s="9"/>
      <c r="O16" s="9"/>
      <c r="P16" s="9"/>
      <c r="Q16" s="9"/>
      <c r="R16" s="10"/>
      <c r="S16" s="10"/>
      <c r="T16" s="26" t="s">
        <v>178</v>
      </c>
      <c r="U16" s="9"/>
      <c r="V16" s="9"/>
      <c r="W16" s="9"/>
      <c r="X16" s="9"/>
      <c r="Y16" s="10"/>
      <c r="Z16" s="10"/>
      <c r="AA16" s="9"/>
      <c r="AB16" s="9"/>
      <c r="AC16" s="9"/>
      <c r="AD16" s="9"/>
      <c r="AE16" s="9"/>
      <c r="AF16" s="22"/>
      <c r="AH16">
        <f t="shared" si="0"/>
        <v>1</v>
      </c>
    </row>
    <row r="17" spans="1:34" ht="15.5" x14ac:dyDescent="0.25">
      <c r="A17" s="19" t="s">
        <v>12</v>
      </c>
      <c r="B17" s="10"/>
      <c r="C17" s="10"/>
      <c r="D17" s="42" t="s">
        <v>179</v>
      </c>
      <c r="E17" s="16"/>
      <c r="F17" s="9"/>
      <c r="G17" s="9"/>
      <c r="H17" s="9"/>
      <c r="I17" s="10"/>
      <c r="J17" s="10"/>
      <c r="K17" s="9"/>
      <c r="L17" s="9"/>
      <c r="M17" s="9"/>
      <c r="N17" s="9"/>
      <c r="O17" s="9"/>
      <c r="P17" s="10"/>
      <c r="Q17" s="10"/>
      <c r="R17" s="9"/>
      <c r="S17" s="9"/>
      <c r="T17" s="9"/>
      <c r="U17" s="9"/>
      <c r="V17" s="9"/>
      <c r="W17" s="10"/>
      <c r="X17" s="10"/>
      <c r="Y17" s="9"/>
      <c r="Z17" s="26" t="s">
        <v>179</v>
      </c>
      <c r="AA17" s="9"/>
      <c r="AB17" s="9"/>
      <c r="AC17" s="9"/>
      <c r="AD17" s="10"/>
      <c r="AE17" s="10"/>
      <c r="AF17" s="9"/>
      <c r="AH17">
        <f t="shared" si="0"/>
        <v>2</v>
      </c>
    </row>
    <row r="18" spans="1:34" ht="15.5" x14ac:dyDescent="0.25">
      <c r="A18" s="19" t="s">
        <v>13</v>
      </c>
      <c r="B18" s="16"/>
      <c r="C18" s="16"/>
      <c r="D18" s="16"/>
      <c r="E18" s="16"/>
      <c r="F18" s="10"/>
      <c r="G18" s="10"/>
      <c r="H18" s="9"/>
      <c r="I18" s="9"/>
      <c r="J18" s="9"/>
      <c r="K18" s="9"/>
      <c r="L18" s="9"/>
      <c r="M18" s="10"/>
      <c r="N18" s="10"/>
      <c r="O18" s="9"/>
      <c r="P18" s="9"/>
      <c r="Q18" s="9"/>
      <c r="R18" s="9"/>
      <c r="S18" s="9"/>
      <c r="T18" s="10"/>
      <c r="U18" s="10"/>
      <c r="V18" s="26" t="s">
        <v>114</v>
      </c>
      <c r="W18" s="9"/>
      <c r="X18" s="9"/>
      <c r="Y18" s="9"/>
      <c r="Z18" s="9"/>
      <c r="AA18" s="10"/>
      <c r="AB18" s="10"/>
      <c r="AC18" s="9"/>
      <c r="AD18" s="9"/>
      <c r="AE18" s="9"/>
      <c r="AF18" s="22"/>
      <c r="AH18">
        <f t="shared" si="0"/>
        <v>1</v>
      </c>
    </row>
    <row r="19" spans="1:34" ht="15.5" x14ac:dyDescent="0.25">
      <c r="A19" s="19" t="s">
        <v>14</v>
      </c>
      <c r="B19" s="16"/>
      <c r="C19" s="16"/>
      <c r="D19" s="10"/>
      <c r="E19" s="10"/>
      <c r="F19" s="9"/>
      <c r="G19" s="9"/>
      <c r="H19" s="9"/>
      <c r="I19" s="9"/>
      <c r="J19" s="9"/>
      <c r="K19" s="10"/>
      <c r="L19" s="10"/>
      <c r="M19" s="26" t="s">
        <v>113</v>
      </c>
      <c r="N19" s="26" t="s">
        <v>113</v>
      </c>
      <c r="O19" s="26" t="s">
        <v>113</v>
      </c>
      <c r="P19" s="26" t="s">
        <v>113</v>
      </c>
      <c r="Q19" s="9"/>
      <c r="R19" s="10"/>
      <c r="S19" s="10"/>
      <c r="T19" s="9"/>
      <c r="U19" s="9"/>
      <c r="V19" s="9"/>
      <c r="W19" s="9"/>
      <c r="X19" s="9"/>
      <c r="Y19" s="10"/>
      <c r="Z19" s="10"/>
      <c r="AA19" s="9"/>
      <c r="AB19" s="9"/>
      <c r="AC19" s="9"/>
      <c r="AD19" s="26" t="s">
        <v>114</v>
      </c>
      <c r="AE19" s="9"/>
      <c r="AF19" s="10"/>
      <c r="AH19">
        <f t="shared" si="0"/>
        <v>5</v>
      </c>
    </row>
    <row r="20" spans="1:34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4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4" ht="13" x14ac:dyDescent="0.3">
      <c r="A22" s="14" t="s">
        <v>16</v>
      </c>
      <c r="B22" s="15" t="s">
        <v>17</v>
      </c>
      <c r="C22" s="15"/>
      <c r="D22" s="15"/>
      <c r="E22" s="15" t="s">
        <v>18</v>
      </c>
      <c r="F22" s="15"/>
      <c r="G22" s="16"/>
      <c r="H22" s="55" t="s">
        <v>19</v>
      </c>
      <c r="I22" s="56"/>
      <c r="J22" s="56"/>
      <c r="K22" s="56"/>
      <c r="L22" s="56"/>
      <c r="M22" s="57"/>
      <c r="N22" t="s">
        <v>21</v>
      </c>
      <c r="S22" t="s">
        <v>24</v>
      </c>
      <c r="Y22" t="s">
        <v>26</v>
      </c>
      <c r="AF22" s="5"/>
    </row>
    <row r="23" spans="1:34" x14ac:dyDescent="0.25">
      <c r="A23" s="25" t="s">
        <v>118</v>
      </c>
      <c r="B23" s="51"/>
      <c r="C23" s="51"/>
      <c r="D23" s="16"/>
      <c r="E23" s="51"/>
      <c r="F23" s="51"/>
      <c r="G23" s="16"/>
      <c r="H23" s="62" t="s">
        <v>118</v>
      </c>
      <c r="I23" s="53"/>
      <c r="J23" s="53"/>
      <c r="K23" s="53"/>
      <c r="L23" s="53"/>
      <c r="M23" s="54"/>
      <c r="N23" t="s">
        <v>22</v>
      </c>
      <c r="S23" t="s">
        <v>25</v>
      </c>
      <c r="Y23" s="20" t="s">
        <v>32</v>
      </c>
      <c r="AF23" s="5"/>
    </row>
    <row r="24" spans="1:34" x14ac:dyDescent="0.25">
      <c r="A24" s="25" t="s">
        <v>118</v>
      </c>
      <c r="B24" s="51"/>
      <c r="C24" s="51"/>
      <c r="D24" s="16"/>
      <c r="E24" s="51"/>
      <c r="F24" s="51"/>
      <c r="G24" s="16"/>
      <c r="H24" s="52" t="s">
        <v>118</v>
      </c>
      <c r="I24" s="53"/>
      <c r="J24" s="53"/>
      <c r="K24" s="53"/>
      <c r="L24" s="53"/>
      <c r="M24" s="54"/>
      <c r="N24" t="s">
        <v>23</v>
      </c>
      <c r="S24" s="20" t="s">
        <v>29</v>
      </c>
      <c r="Y24" t="s">
        <v>27</v>
      </c>
      <c r="AF24" s="5"/>
    </row>
    <row r="25" spans="1:34" x14ac:dyDescent="0.25">
      <c r="A25" s="25" t="s">
        <v>118</v>
      </c>
      <c r="B25" s="51"/>
      <c r="C25" s="51"/>
      <c r="D25" s="16"/>
      <c r="E25" s="51"/>
      <c r="F25" s="51"/>
      <c r="G25" s="16"/>
      <c r="H25" s="52" t="s">
        <v>118</v>
      </c>
      <c r="I25" s="53"/>
      <c r="J25" s="53"/>
      <c r="K25" s="53"/>
      <c r="L25" s="53"/>
      <c r="M25" s="54"/>
      <c r="N25" s="20" t="s">
        <v>30</v>
      </c>
      <c r="Y25" t="s">
        <v>28</v>
      </c>
      <c r="AF25" s="5"/>
    </row>
    <row r="26" spans="1:34" x14ac:dyDescent="0.25">
      <c r="A26" s="25" t="s">
        <v>118</v>
      </c>
      <c r="B26" s="51"/>
      <c r="C26" s="51"/>
      <c r="D26" s="16"/>
      <c r="E26" s="51"/>
      <c r="F26" s="51"/>
      <c r="G26" s="16"/>
      <c r="H26" s="52" t="s">
        <v>118</v>
      </c>
      <c r="I26" s="53"/>
      <c r="J26" s="53"/>
      <c r="K26" s="53"/>
      <c r="L26" s="53"/>
      <c r="M26" s="54"/>
      <c r="N26" s="20" t="s">
        <v>31</v>
      </c>
      <c r="AF26" s="5"/>
    </row>
    <row r="27" spans="1:34" x14ac:dyDescent="0.25">
      <c r="A27" s="25" t="s">
        <v>118</v>
      </c>
      <c r="B27" s="51"/>
      <c r="C27" s="51"/>
      <c r="D27" s="16"/>
      <c r="E27" s="51"/>
      <c r="F27" s="51"/>
      <c r="G27" s="16"/>
      <c r="H27" s="52" t="s">
        <v>118</v>
      </c>
      <c r="I27" s="53"/>
      <c r="J27" s="53"/>
      <c r="K27" s="53"/>
      <c r="L27" s="53"/>
      <c r="M27" s="54"/>
      <c r="AF27" s="5"/>
    </row>
    <row r="28" spans="1:34" x14ac:dyDescent="0.25">
      <c r="A28" s="17"/>
      <c r="B28" s="51"/>
      <c r="C28" s="51"/>
      <c r="D28" s="16"/>
      <c r="E28" s="51"/>
      <c r="F28" s="51"/>
      <c r="G28" s="16"/>
      <c r="H28" s="52"/>
      <c r="I28" s="53"/>
      <c r="J28" s="53"/>
      <c r="K28" s="53"/>
      <c r="L28" s="53"/>
      <c r="M28" s="54"/>
      <c r="AF28" s="5"/>
    </row>
    <row r="30" spans="1:34" x14ac:dyDescent="0.25">
      <c r="F30" t="e" cm="1">
        <f t="array" aca="1" ref="F30" ca="1">INDIRECT(INDEX(ListSheets,ROWS($A$1:$A1))&amp;"!"&amp;CELL("endereço",A$146))</f>
        <v>#NAME?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065238E2B0B64CB2D3E9C4A77EE270" ma:contentTypeVersion="13" ma:contentTypeDescription="Create a new document." ma:contentTypeScope="" ma:versionID="25f91677b1d1e718fa7702f359910c09">
  <xsd:schema xmlns:xsd="http://www.w3.org/2001/XMLSchema" xmlns:xs="http://www.w3.org/2001/XMLSchema" xmlns:p="http://schemas.microsoft.com/office/2006/metadata/properties" xmlns:ns2="ca29676e-146f-4992-a625-6e1448ec12fb" xmlns:ns3="bcdf09f0-c0f3-4536-9075-519f9a5911b6" targetNamespace="http://schemas.microsoft.com/office/2006/metadata/properties" ma:root="true" ma:fieldsID="1bf40040fdbc9a7f845833869f6e8f08" ns2:_="" ns3:_="">
    <xsd:import namespace="ca29676e-146f-4992-a625-6e1448ec12fb"/>
    <xsd:import namespace="bcdf09f0-c0f3-4536-9075-519f9a5911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29676e-146f-4992-a625-6e1448ec12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c8ab95b9-39aa-4b9d-a2e7-0451eedf9b8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df09f0-c0f3-4536-9075-519f9a5911b6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0ed81509-113f-41f3-bbd7-f31e130f880d}" ma:internalName="TaxCatchAll" ma:showField="CatchAllData" ma:web="bcdf09f0-c0f3-4536-9075-519f9a5911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a29676e-146f-4992-a625-6e1448ec12fb">
      <Terms xmlns="http://schemas.microsoft.com/office/infopath/2007/PartnerControls"/>
    </lcf76f155ced4ddcb4097134ff3c332f>
    <TaxCatchAll xmlns="bcdf09f0-c0f3-4536-9075-519f9a5911b6" xsi:nil="true"/>
  </documentManagement>
</p:properties>
</file>

<file path=customXml/itemProps1.xml><?xml version="1.0" encoding="utf-8"?>
<ds:datastoreItem xmlns:ds="http://schemas.openxmlformats.org/officeDocument/2006/customXml" ds:itemID="{1C8A2F13-033A-4584-9D7E-D9530362D8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97F6532-5B9B-4197-8F42-7680B830791C}"/>
</file>

<file path=customXml/itemProps3.xml><?xml version="1.0" encoding="utf-8"?>
<ds:datastoreItem xmlns:ds="http://schemas.openxmlformats.org/officeDocument/2006/customXml" ds:itemID="{FCCD6E42-46AB-48CC-89EA-6FC2BC1333CA}">
  <ds:schemaRefs>
    <ds:schemaRef ds:uri="http://purl.org/dc/elements/1.1/"/>
    <ds:schemaRef ds:uri="http://purl.org/dc/terms/"/>
    <ds:schemaRef ds:uri="http://www.w3.org/XML/1998/namespace"/>
    <ds:schemaRef ds:uri="ca29676e-146f-4992-a625-6e1448ec12fb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bcdf09f0-c0f3-4536-9075-519f9a5911b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98</vt:i4>
      </vt:variant>
    </vt:vector>
  </HeadingPairs>
  <TitlesOfParts>
    <vt:vector size="98" baseType="lpstr">
      <vt:lpstr>Data_Compiled</vt:lpstr>
      <vt:lpstr>Master 2022</vt:lpstr>
      <vt:lpstr>Akulic, Marlene</vt:lpstr>
      <vt:lpstr>Armstrong, Mary</vt:lpstr>
      <vt:lpstr>Atkins, Reva</vt:lpstr>
      <vt:lpstr>Barnes, Ashley</vt:lpstr>
      <vt:lpstr>Barnes, Eric </vt:lpstr>
      <vt:lpstr>Barnes, Sarah </vt:lpstr>
      <vt:lpstr>Bivens, Bethany</vt:lpstr>
      <vt:lpstr>Bivens, Diane</vt:lpstr>
      <vt:lpstr>Bivens, Tammie</vt:lpstr>
      <vt:lpstr>Bledsoe, Amy </vt:lpstr>
      <vt:lpstr>Bookout, Nancy </vt:lpstr>
      <vt:lpstr>Bourzac, Nanette Lo </vt:lpstr>
      <vt:lpstr>Brooks, Tammy </vt:lpstr>
      <vt:lpstr>Brummett, Sebrina</vt:lpstr>
      <vt:lpstr>Bryan, Sheena</vt:lpstr>
      <vt:lpstr>Burger, Mary</vt:lpstr>
      <vt:lpstr>Cannon, Jennifer</vt:lpstr>
      <vt:lpstr>Carroll, Robin </vt:lpstr>
      <vt:lpstr>Cathcart, Bess </vt:lpstr>
      <vt:lpstr>Childress, Stacy </vt:lpstr>
      <vt:lpstr>Clark, Elizabeth </vt:lpstr>
      <vt:lpstr>Coburn, Lisa </vt:lpstr>
      <vt:lpstr>Cooley, Tammy </vt:lpstr>
      <vt:lpstr>Cooper, Alice</vt:lpstr>
      <vt:lpstr>Davis, Kimberly </vt:lpstr>
      <vt:lpstr>Douglas, Krystopher</vt:lpstr>
      <vt:lpstr>Davis, Tyler </vt:lpstr>
      <vt:lpstr>Dotson, Wanda </vt:lpstr>
      <vt:lpstr>Dunn, Lois </vt:lpstr>
      <vt:lpstr>Fabrizio, Jamie </vt:lpstr>
      <vt:lpstr>Ghormley, Kelly </vt:lpstr>
      <vt:lpstr>Gibby, Benjamin </vt:lpstr>
      <vt:lpstr>Gibby, Deborah </vt:lpstr>
      <vt:lpstr>Givens, Robert </vt:lpstr>
      <vt:lpstr>Godwin, Tonya </vt:lpstr>
      <vt:lpstr>Hall, Fredrick </vt:lpstr>
      <vt:lpstr>Hall, Mary </vt:lpstr>
      <vt:lpstr>Hampton, Angela </vt:lpstr>
      <vt:lpstr>Harris, Nancy </vt:lpstr>
      <vt:lpstr>Harrison, Chuck </vt:lpstr>
      <vt:lpstr>Headrick, Lena </vt:lpstr>
      <vt:lpstr>Helton, Lisa</vt:lpstr>
      <vt:lpstr>Hicks, lisa </vt:lpstr>
      <vt:lpstr>Hicks, Shelby</vt:lpstr>
      <vt:lpstr>Howarth, Amy </vt:lpstr>
      <vt:lpstr>Hunt, Nancy </vt:lpstr>
      <vt:lpstr>Jones, Deborah</vt:lpstr>
      <vt:lpstr>Kelly, Delmis </vt:lpstr>
      <vt:lpstr>Kelly, Justin </vt:lpstr>
      <vt:lpstr>Kliever, Debbie </vt:lpstr>
      <vt:lpstr>Lee, Ginger </vt:lpstr>
      <vt:lpstr>Lorenz, Viola </vt:lpstr>
      <vt:lpstr>Marrero, Rachel </vt:lpstr>
      <vt:lpstr>Martin, Dusty </vt:lpstr>
      <vt:lpstr>May, Cynthia </vt:lpstr>
      <vt:lpstr>McCluskey, Loreta </vt:lpstr>
      <vt:lpstr>McDaniel, Kaylee</vt:lpstr>
      <vt:lpstr>McKee, Nathan</vt:lpstr>
      <vt:lpstr>Miller, Gary </vt:lpstr>
      <vt:lpstr>Mills, Gary </vt:lpstr>
      <vt:lpstr>Moore, Darlene </vt:lpstr>
      <vt:lpstr>Morris, Jessie</vt:lpstr>
      <vt:lpstr>Nichols, Brenda </vt:lpstr>
      <vt:lpstr>Parker, Jerry</vt:lpstr>
      <vt:lpstr>Patterson, Pamela </vt:lpstr>
      <vt:lpstr>Peels, Carolyn </vt:lpstr>
      <vt:lpstr>Peels, Timothy </vt:lpstr>
      <vt:lpstr>Poff, Jessica </vt:lpstr>
      <vt:lpstr>Rankin, Alan </vt:lpstr>
      <vt:lpstr>Reagan, Sandra</vt:lpstr>
      <vt:lpstr>Redman, Melissa</vt:lpstr>
      <vt:lpstr>Richesin, Joey </vt:lpstr>
      <vt:lpstr>Roberts, Beverly</vt:lpstr>
      <vt:lpstr>Roberts, Lisa </vt:lpstr>
      <vt:lpstr>Roberts, Lori </vt:lpstr>
      <vt:lpstr>Rupinski, Angela </vt:lpstr>
      <vt:lpstr>Rupinski, Alexis</vt:lpstr>
      <vt:lpstr>Schutt, Caleb </vt:lpstr>
      <vt:lpstr>Schomaker, Carla </vt:lpstr>
      <vt:lpstr>Selby, Chasity </vt:lpstr>
      <vt:lpstr>Self, Janet </vt:lpstr>
      <vt:lpstr>Sharp, Sonia </vt:lpstr>
      <vt:lpstr>Shaw, Teia </vt:lpstr>
      <vt:lpstr>Shepherd, Christina</vt:lpstr>
      <vt:lpstr>Smith, Shannon</vt:lpstr>
      <vt:lpstr>Smith,Justin</vt:lpstr>
      <vt:lpstr>Stafford, Tabitha </vt:lpstr>
      <vt:lpstr>Stevens, Lorie</vt:lpstr>
      <vt:lpstr>Thomas, Emily </vt:lpstr>
      <vt:lpstr>Tipton, Rebecca</vt:lpstr>
      <vt:lpstr>Vaughn, Gregory </vt:lpstr>
      <vt:lpstr>Veit, Jordan </vt:lpstr>
      <vt:lpstr>Watson, Dennis </vt:lpstr>
      <vt:lpstr>Wells, James </vt:lpstr>
      <vt:lpstr>West, Sandra </vt:lpstr>
      <vt:lpstr>Young, Karen </vt:lpstr>
    </vt:vector>
  </TitlesOfParts>
  <Company>Sylvan Learning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Prince</dc:creator>
  <cp:lastModifiedBy>Guilherme Zuccolotto</cp:lastModifiedBy>
  <cp:lastPrinted>2018-12-12T13:27:09Z</cp:lastPrinted>
  <dcterms:created xsi:type="dcterms:W3CDTF">2002-01-04T13:50:45Z</dcterms:created>
  <dcterms:modified xsi:type="dcterms:W3CDTF">2023-03-13T18:03:46Z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0x01010082065238E2B0B64CB2D3E9C4A77EE270</vt:lpwstr>
  </property>
</Properties>
</file>