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1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98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liveutk.sharepoint.com/sites/CASREPublications-GuilhermePh.D.DissertationandPapers/Shared Documents/Guilherme– Ph.D. Dissertation and Papers/Data/"/>
    </mc:Choice>
  </mc:AlternateContent>
  <xr:revisionPtr revIDLastSave="800" documentId="8_{D7DD7DC7-82A5-4FBE-8BA4-B8EE847315F0}" xr6:coauthVersionLast="47" xr6:coauthVersionMax="47" xr10:uidLastSave="{0BDAC1A5-A878-49C9-A5DA-DF2B97A346E9}"/>
  <bookViews>
    <workbookView xWindow="63090" yWindow="0" windowWidth="17415" windowHeight="20985" activeTab="1" xr2:uid="{F177A5D0-E13C-472D-822E-885F1ECFE91F}"/>
  </bookViews>
  <sheets>
    <sheet name="Summary" sheetId="115" r:id="rId1"/>
    <sheet name="Data_Compiled" sheetId="113" r:id="rId2"/>
    <sheet name="Master 2023" sheetId="1" r:id="rId3"/>
    <sheet name="Marlene Akulic" sheetId="2" r:id="rId4"/>
    <sheet name="Reva Atkins" sheetId="3" r:id="rId5"/>
    <sheet name="Ashley Barnes " sheetId="103" r:id="rId6"/>
    <sheet name="Eric Barnes " sheetId="4" r:id="rId7"/>
    <sheet name="Sarah Barnes " sheetId="5" r:id="rId8"/>
    <sheet name="Bethany Bivens " sheetId="7" r:id="rId9"/>
    <sheet name="Diane Bivens " sheetId="8" r:id="rId10"/>
    <sheet name="Tammie Bivens " sheetId="9" r:id="rId11"/>
    <sheet name="Amy Bledsoe " sheetId="10" r:id="rId12"/>
    <sheet name="Nancy Bookout " sheetId="12" r:id="rId13"/>
    <sheet name="Janie Borden " sheetId="112" r:id="rId14"/>
    <sheet name="Nanette Bourzac " sheetId="13" r:id="rId15"/>
    <sheet name="Tammy Brooks" sheetId="14" r:id="rId16"/>
    <sheet name="Sebrina Brummett" sheetId="15" r:id="rId17"/>
    <sheet name="Sheena Bryan" sheetId="16" r:id="rId18"/>
    <sheet name="Mary Burger " sheetId="17" r:id="rId19"/>
    <sheet name="Jenniefr Cannon " sheetId="18" r:id="rId20"/>
    <sheet name="Robin Carroll " sheetId="19" r:id="rId21"/>
    <sheet name="Bess Cathcart " sheetId="20" r:id="rId22"/>
    <sheet name="Stacy Childress " sheetId="21" r:id="rId23"/>
    <sheet name="Elizabeth Clark " sheetId="22" r:id="rId24"/>
    <sheet name="Lisa Coburn " sheetId="23" r:id="rId25"/>
    <sheet name="Tammy Cooley " sheetId="24" r:id="rId26"/>
    <sheet name="Alice Cooper " sheetId="25" r:id="rId27"/>
    <sheet name="Kimberly Davis " sheetId="26" r:id="rId28"/>
    <sheet name="Wanda Dotson " sheetId="27" r:id="rId29"/>
    <sheet name="Krystopher Douglas " sheetId="28" r:id="rId30"/>
    <sheet name="Lois Dunn" sheetId="29" r:id="rId31"/>
    <sheet name="Jamie Fabrizio" sheetId="30" r:id="rId32"/>
    <sheet name="Tanner Frerichs" sheetId="111" r:id="rId33"/>
    <sheet name="Candice Frost " sheetId="104" r:id="rId34"/>
    <sheet name="Kelly Ghormley " sheetId="31" r:id="rId35"/>
    <sheet name="Benjamin Gibby " sheetId="32" r:id="rId36"/>
    <sheet name="Deborah Gibby " sheetId="33" r:id="rId37"/>
    <sheet name="Robert Givens " sheetId="34" r:id="rId38"/>
    <sheet name="Tonya Godwin" sheetId="35" r:id="rId39"/>
    <sheet name="Darius Goley" sheetId="110" r:id="rId40"/>
    <sheet name="Fredrick Hall " sheetId="36" r:id="rId41"/>
    <sheet name="Mary Hall " sheetId="37" r:id="rId42"/>
    <sheet name="Angela Hampton " sheetId="38" r:id="rId43"/>
    <sheet name="Nancy Harris" sheetId="39" r:id="rId44"/>
    <sheet name="Lena Headrick " sheetId="40" r:id="rId45"/>
    <sheet name="Lisa Helton " sheetId="41" r:id="rId46"/>
    <sheet name="Lisa Hicks " sheetId="42" r:id="rId47"/>
    <sheet name="Amy Howarth " sheetId="44" r:id="rId48"/>
    <sheet name="Nancy Hunt " sheetId="45" r:id="rId49"/>
    <sheet name="Katie James " sheetId="106" r:id="rId50"/>
    <sheet name="William Johnson" sheetId="109" r:id="rId51"/>
    <sheet name="Deborah Jones " sheetId="47" r:id="rId52"/>
    <sheet name="Jena Jones " sheetId="48" r:id="rId53"/>
    <sheet name="Delmis Kelly " sheetId="49" r:id="rId54"/>
    <sheet name="Justin Kelly " sheetId="50" r:id="rId55"/>
    <sheet name="Debbie Kliever " sheetId="51" r:id="rId56"/>
    <sheet name="Ginger Lee " sheetId="56" r:id="rId57"/>
    <sheet name="Viola Lorenz " sheetId="57" r:id="rId58"/>
    <sheet name="Dusty Martin " sheetId="59" r:id="rId59"/>
    <sheet name="Cynthia May " sheetId="60" r:id="rId60"/>
    <sheet name="Loreta McCluskey" sheetId="61" r:id="rId61"/>
    <sheet name="Kaylee McDaniel " sheetId="62" r:id="rId62"/>
    <sheet name="Nathan McKee " sheetId="63" r:id="rId63"/>
    <sheet name="Gary Miller " sheetId="64" r:id="rId64"/>
    <sheet name="Darlene Moore " sheetId="65" r:id="rId65"/>
    <sheet name="Jessie Morris " sheetId="66" r:id="rId66"/>
    <sheet name="Emily Newman " sheetId="108" r:id="rId67"/>
    <sheet name="Brenda Nichols " sheetId="74" r:id="rId68"/>
    <sheet name="Jerry Parker " sheetId="75" r:id="rId69"/>
    <sheet name="Pamela Patterson " sheetId="76" r:id="rId70"/>
    <sheet name="Carolyn Peels " sheetId="77" r:id="rId71"/>
    <sheet name="Timothy Peels " sheetId="67" r:id="rId72"/>
    <sheet name="Jessica Poff " sheetId="68" r:id="rId73"/>
    <sheet name="Alan Rankin " sheetId="69" r:id="rId74"/>
    <sheet name="Cheryl Reagan " sheetId="107" r:id="rId75"/>
    <sheet name="Sandra Reagan " sheetId="70" r:id="rId76"/>
    <sheet name="Melissa Redman " sheetId="71" r:id="rId77"/>
    <sheet name="Joey Richesin" sheetId="72" r:id="rId78"/>
    <sheet name="Beverly Roberts " sheetId="78" r:id="rId79"/>
    <sheet name="Lisa Roberts " sheetId="79" r:id="rId80"/>
    <sheet name="Alexis Rupinski" sheetId="80" r:id="rId81"/>
    <sheet name="Angela Rupinski" sheetId="81" r:id="rId82"/>
    <sheet name="Carla Schomaker " sheetId="82" r:id="rId83"/>
    <sheet name="Caleb Schutt " sheetId="83" r:id="rId84"/>
    <sheet name="Chasity Selby " sheetId="84" r:id="rId85"/>
    <sheet name="Janet Self " sheetId="85" r:id="rId86"/>
    <sheet name="Sonis Sharp " sheetId="86" r:id="rId87"/>
    <sheet name="Teia Shaw " sheetId="87" r:id="rId88"/>
    <sheet name="Christina Shepherd " sheetId="88" r:id="rId89"/>
    <sheet name="Justin Smith " sheetId="89" r:id="rId90"/>
    <sheet name="Shannon Smith " sheetId="90" r:id="rId91"/>
    <sheet name="Tabitha Stafford " sheetId="91" r:id="rId92"/>
    <sheet name="Emily Thomas " sheetId="92" r:id="rId93"/>
    <sheet name="Michelle Thomas " sheetId="93" r:id="rId94"/>
    <sheet name="Rebecca Tipton " sheetId="94" r:id="rId95"/>
    <sheet name="Jordan Veit " sheetId="97" r:id="rId96"/>
    <sheet name="Dennis Watson " sheetId="98" r:id="rId97"/>
    <sheet name="James Wells " sheetId="99" r:id="rId98"/>
    <sheet name="Sandra West " sheetId="100" r:id="rId99"/>
    <sheet name="Karen Young " sheetId="101" r:id="rId10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15" l="1"/>
  <c r="E6" i="115"/>
  <c r="E7" i="115"/>
  <c r="E8" i="115"/>
  <c r="E9" i="115"/>
  <c r="E10" i="115"/>
  <c r="E11" i="115"/>
  <c r="E12" i="115"/>
  <c r="E13" i="115"/>
  <c r="E14" i="115"/>
  <c r="E15" i="115"/>
  <c r="E16" i="115"/>
  <c r="E17" i="115"/>
  <c r="E18" i="115"/>
  <c r="E19" i="115"/>
  <c r="E20" i="115"/>
  <c r="E21" i="115"/>
  <c r="E22" i="115"/>
  <c r="E23" i="115"/>
  <c r="E24" i="115"/>
  <c r="E25" i="115"/>
  <c r="E26" i="115"/>
  <c r="E27" i="115"/>
  <c r="E28" i="115"/>
  <c r="E29" i="115"/>
  <c r="E30" i="115"/>
  <c r="E31" i="115"/>
  <c r="E32" i="115"/>
  <c r="E33" i="115"/>
  <c r="E34" i="115"/>
  <c r="E35" i="115"/>
  <c r="E36" i="115"/>
  <c r="E37" i="115"/>
  <c r="E38" i="115"/>
  <c r="E39" i="115"/>
  <c r="E40" i="115"/>
  <c r="E41" i="115"/>
  <c r="E42" i="115"/>
  <c r="E43" i="115"/>
  <c r="E44" i="115"/>
  <c r="E45" i="115"/>
  <c r="E46" i="115"/>
  <c r="E47" i="115"/>
  <c r="E48" i="115"/>
  <c r="E49" i="115"/>
  <c r="E50" i="115"/>
  <c r="E51" i="115"/>
  <c r="E52" i="115"/>
  <c r="E53" i="115"/>
  <c r="E54" i="115"/>
  <c r="E55" i="115"/>
  <c r="E56" i="115"/>
  <c r="E57" i="115"/>
  <c r="E58" i="115"/>
  <c r="E59" i="115"/>
  <c r="E60" i="115"/>
  <c r="E61" i="115"/>
  <c r="E62" i="115"/>
  <c r="E63" i="115"/>
  <c r="E64" i="115"/>
  <c r="E65" i="115"/>
  <c r="E66" i="115"/>
  <c r="E67" i="115"/>
  <c r="E68" i="115"/>
  <c r="E69" i="115"/>
  <c r="E70" i="115"/>
  <c r="E71" i="115"/>
  <c r="E72" i="115"/>
  <c r="E73" i="115"/>
  <c r="E74" i="115"/>
  <c r="E75" i="115"/>
  <c r="E76" i="115"/>
  <c r="E77" i="115"/>
  <c r="E78" i="115"/>
  <c r="E79" i="115"/>
  <c r="E80" i="115"/>
  <c r="E81" i="115"/>
  <c r="E82" i="115"/>
  <c r="E83" i="115"/>
  <c r="E84" i="115"/>
  <c r="E85" i="115"/>
  <c r="E86" i="115"/>
  <c r="E87" i="115"/>
  <c r="E88" i="115"/>
  <c r="E89" i="115"/>
  <c r="E90" i="115"/>
  <c r="E91" i="115"/>
  <c r="E92" i="115"/>
  <c r="E93" i="115"/>
  <c r="E94" i="115"/>
  <c r="E95" i="115"/>
  <c r="E96" i="115"/>
  <c r="E97" i="115"/>
  <c r="E98" i="115"/>
  <c r="E99" i="115"/>
  <c r="E100" i="115"/>
  <c r="E101" i="115"/>
  <c r="E4" i="115"/>
  <c r="C2" i="113"/>
  <c r="D2" i="113"/>
  <c r="E2" i="113"/>
  <c r="F2" i="113"/>
  <c r="G2" i="113"/>
  <c r="H2" i="113"/>
  <c r="I2" i="113"/>
  <c r="J2" i="113"/>
  <c r="K2" i="113"/>
  <c r="L2" i="113"/>
  <c r="M2" i="113"/>
  <c r="N2" i="113"/>
  <c r="O2" i="113"/>
  <c r="P2" i="113"/>
  <c r="Q2" i="113"/>
  <c r="R2" i="113"/>
  <c r="S2" i="113"/>
  <c r="T2" i="113"/>
  <c r="U2" i="113"/>
  <c r="V2" i="113"/>
  <c r="W2" i="113"/>
  <c r="X2" i="113"/>
  <c r="Y2" i="113"/>
  <c r="Z2" i="113"/>
  <c r="AA2" i="113"/>
  <c r="AB2" i="113"/>
  <c r="AC2" i="113"/>
  <c r="AD2" i="113"/>
  <c r="AE2" i="113"/>
  <c r="AF2" i="113"/>
  <c r="AG2" i="113"/>
  <c r="AH2" i="113"/>
  <c r="AI2" i="113"/>
  <c r="AJ2" i="113"/>
  <c r="AK2" i="113"/>
  <c r="AL2" i="113"/>
  <c r="AM2" i="113"/>
  <c r="AN2" i="113"/>
  <c r="AO2" i="113"/>
  <c r="AP2" i="113"/>
  <c r="AQ2" i="113"/>
  <c r="AR2" i="113"/>
  <c r="AS2" i="113"/>
  <c r="AT2" i="113"/>
  <c r="AU2" i="113"/>
  <c r="AV2" i="113"/>
  <c r="AW2" i="113"/>
  <c r="AW15" i="113" s="1"/>
  <c r="AX2" i="113"/>
  <c r="AY2" i="113"/>
  <c r="AZ2" i="113"/>
  <c r="BA2" i="113"/>
  <c r="BB2" i="113"/>
  <c r="BC2" i="113"/>
  <c r="BD2" i="113"/>
  <c r="BE2" i="113"/>
  <c r="BF2" i="113"/>
  <c r="BG2" i="113"/>
  <c r="BH2" i="113"/>
  <c r="BI2" i="113"/>
  <c r="BJ2" i="113"/>
  <c r="BK2" i="113"/>
  <c r="BL2" i="113"/>
  <c r="BM2" i="113"/>
  <c r="BN2" i="113"/>
  <c r="BO2" i="113"/>
  <c r="BP2" i="113"/>
  <c r="BQ2" i="113"/>
  <c r="BR2" i="113"/>
  <c r="BS2" i="113"/>
  <c r="BT2" i="113"/>
  <c r="BU2" i="113"/>
  <c r="BV2" i="113"/>
  <c r="BW2" i="113"/>
  <c r="BX2" i="113"/>
  <c r="BY2" i="113"/>
  <c r="BZ2" i="113"/>
  <c r="CA2" i="113"/>
  <c r="CB2" i="113"/>
  <c r="CC2" i="113"/>
  <c r="CC15" i="113" s="1"/>
  <c r="CD2" i="113"/>
  <c r="CE2" i="113"/>
  <c r="CF2" i="113"/>
  <c r="CG2" i="113"/>
  <c r="CH2" i="113"/>
  <c r="CI2" i="113"/>
  <c r="CJ2" i="113"/>
  <c r="CK2" i="113"/>
  <c r="CL2" i="113"/>
  <c r="CM2" i="113"/>
  <c r="CN2" i="113"/>
  <c r="CO2" i="113"/>
  <c r="CP2" i="113"/>
  <c r="CQ2" i="113"/>
  <c r="CR2" i="113"/>
  <c r="CS2" i="113"/>
  <c r="C3" i="113"/>
  <c r="D3" i="113"/>
  <c r="E3" i="113"/>
  <c r="F3" i="113"/>
  <c r="G3" i="113"/>
  <c r="H3" i="113"/>
  <c r="I3" i="113"/>
  <c r="J3" i="113"/>
  <c r="K3" i="113"/>
  <c r="K16" i="113" s="1"/>
  <c r="L3" i="113"/>
  <c r="M3" i="113"/>
  <c r="N3" i="113"/>
  <c r="O3" i="113"/>
  <c r="P3" i="113"/>
  <c r="Q3" i="113"/>
  <c r="R3" i="113"/>
  <c r="S3" i="113"/>
  <c r="T3" i="113"/>
  <c r="U3" i="113"/>
  <c r="V3" i="113"/>
  <c r="W3" i="113"/>
  <c r="X3" i="113"/>
  <c r="Y3" i="113"/>
  <c r="Z3" i="113"/>
  <c r="Z16" i="113" s="1"/>
  <c r="AA3" i="113"/>
  <c r="AB3" i="113"/>
  <c r="AC3" i="113"/>
  <c r="AD3" i="113"/>
  <c r="AE3" i="113"/>
  <c r="AF3" i="113"/>
  <c r="AG3" i="113"/>
  <c r="AH3" i="113"/>
  <c r="AI3" i="113"/>
  <c r="AI16" i="113" s="1"/>
  <c r="AJ3" i="113"/>
  <c r="AK3" i="113"/>
  <c r="AL3" i="113"/>
  <c r="AM3" i="113"/>
  <c r="AN3" i="113"/>
  <c r="AO3" i="113"/>
  <c r="AP3" i="113"/>
  <c r="AP16" i="113" s="1"/>
  <c r="AQ3" i="113"/>
  <c r="AR3" i="113"/>
  <c r="AS3" i="113"/>
  <c r="AT3" i="113"/>
  <c r="AU3" i="113"/>
  <c r="AV3" i="113"/>
  <c r="AW3" i="113"/>
  <c r="AX3" i="113"/>
  <c r="AX16" i="113" s="1"/>
  <c r="AY3" i="113"/>
  <c r="AY16" i="113" s="1"/>
  <c r="AZ3" i="113"/>
  <c r="BA3" i="113"/>
  <c r="BB3" i="113"/>
  <c r="BC3" i="113"/>
  <c r="BD3" i="113"/>
  <c r="BE3" i="113"/>
  <c r="BF3" i="113"/>
  <c r="BG3" i="113"/>
  <c r="BG16" i="113" s="1"/>
  <c r="BH3" i="113"/>
  <c r="BI3" i="113"/>
  <c r="BJ3" i="113"/>
  <c r="BK3" i="113"/>
  <c r="BL3" i="113"/>
  <c r="BM3" i="113"/>
  <c r="BN3" i="113"/>
  <c r="BN16" i="113" s="1"/>
  <c r="BO3" i="113"/>
  <c r="BP3" i="113"/>
  <c r="BQ3" i="113"/>
  <c r="BR3" i="113"/>
  <c r="BS3" i="113"/>
  <c r="BT3" i="113"/>
  <c r="BU3" i="113"/>
  <c r="BV3" i="113"/>
  <c r="BW3" i="113"/>
  <c r="BW16" i="113" s="1"/>
  <c r="BX3" i="113"/>
  <c r="BY3" i="113"/>
  <c r="BZ3" i="113"/>
  <c r="CA3" i="113"/>
  <c r="CB3" i="113"/>
  <c r="CC3" i="113"/>
  <c r="CD3" i="113"/>
  <c r="CE3" i="113"/>
  <c r="CF3" i="113"/>
  <c r="CG3" i="113"/>
  <c r="CH3" i="113"/>
  <c r="CI3" i="113"/>
  <c r="CJ3" i="113"/>
  <c r="CK3" i="113"/>
  <c r="CL3" i="113"/>
  <c r="CL16" i="113" s="1"/>
  <c r="CM3" i="113"/>
  <c r="CN3" i="113"/>
  <c r="CO3" i="113"/>
  <c r="CP3" i="113"/>
  <c r="CQ3" i="113"/>
  <c r="CR3" i="113"/>
  <c r="CS3" i="113"/>
  <c r="B3" i="113"/>
  <c r="B2" i="113"/>
  <c r="CS32" i="113"/>
  <c r="CR32" i="113"/>
  <c r="CQ32" i="113"/>
  <c r="CP32" i="113"/>
  <c r="CO32" i="113"/>
  <c r="CN32" i="113"/>
  <c r="CM32" i="113"/>
  <c r="CL32" i="113"/>
  <c r="CK32" i="113"/>
  <c r="CJ32" i="113"/>
  <c r="CI32" i="113"/>
  <c r="CH32" i="113"/>
  <c r="CG32" i="113"/>
  <c r="CF32" i="113"/>
  <c r="CE32" i="113"/>
  <c r="CD32" i="113"/>
  <c r="CC32" i="113"/>
  <c r="CB32" i="113"/>
  <c r="CA32" i="113"/>
  <c r="BZ32" i="113"/>
  <c r="BY32" i="113"/>
  <c r="BX32" i="113"/>
  <c r="BW32" i="113"/>
  <c r="BV32" i="113"/>
  <c r="BU32" i="113"/>
  <c r="BT32" i="113"/>
  <c r="BS32" i="113"/>
  <c r="BR32" i="113"/>
  <c r="BQ32" i="113"/>
  <c r="BP32" i="113"/>
  <c r="BO32" i="113"/>
  <c r="BN32" i="113"/>
  <c r="BM32" i="113"/>
  <c r="BL32" i="113"/>
  <c r="BK32" i="113"/>
  <c r="BJ32" i="113"/>
  <c r="BI32" i="113"/>
  <c r="BH32" i="113"/>
  <c r="BG32" i="113"/>
  <c r="BF32" i="113"/>
  <c r="BE32" i="113"/>
  <c r="BD32" i="113"/>
  <c r="BC32" i="113"/>
  <c r="BB32" i="113"/>
  <c r="BA32" i="113"/>
  <c r="AZ32" i="113"/>
  <c r="AY32" i="113"/>
  <c r="AX32" i="113"/>
  <c r="AW32" i="113"/>
  <c r="AV32" i="113"/>
  <c r="AU32" i="113"/>
  <c r="AT32" i="113"/>
  <c r="AS32" i="113"/>
  <c r="AR32" i="113"/>
  <c r="AQ32" i="113"/>
  <c r="AP32" i="113"/>
  <c r="AO32" i="113"/>
  <c r="AN32" i="113"/>
  <c r="AM32" i="113"/>
  <c r="AL32" i="113"/>
  <c r="AK32" i="113"/>
  <c r="AJ32" i="113"/>
  <c r="AI32" i="113"/>
  <c r="AH32" i="113"/>
  <c r="AG32" i="113"/>
  <c r="AF32" i="113"/>
  <c r="AE32" i="113"/>
  <c r="AD32" i="113"/>
  <c r="AC32" i="113"/>
  <c r="AB32" i="113"/>
  <c r="AA32" i="113"/>
  <c r="Z32" i="113"/>
  <c r="Y32" i="113"/>
  <c r="X32" i="113"/>
  <c r="W32" i="113"/>
  <c r="V32" i="113"/>
  <c r="U32" i="113"/>
  <c r="T32" i="113"/>
  <c r="S32" i="113"/>
  <c r="R32" i="113"/>
  <c r="Q32" i="113"/>
  <c r="P32" i="113"/>
  <c r="O32" i="113"/>
  <c r="N32" i="113"/>
  <c r="M32" i="113"/>
  <c r="L32" i="113"/>
  <c r="K32" i="113"/>
  <c r="J32" i="113"/>
  <c r="I32" i="113"/>
  <c r="H32" i="113"/>
  <c r="G32" i="113"/>
  <c r="F32" i="113"/>
  <c r="E32" i="113"/>
  <c r="D32" i="113"/>
  <c r="C32" i="113"/>
  <c r="B32" i="113"/>
  <c r="I16" i="113"/>
  <c r="Q16" i="113"/>
  <c r="Y16" i="113"/>
  <c r="AG16" i="113"/>
  <c r="AO16" i="113"/>
  <c r="AW16" i="113"/>
  <c r="BE16" i="113"/>
  <c r="BM16" i="113"/>
  <c r="BU16" i="113"/>
  <c r="CC16" i="113"/>
  <c r="CK16" i="113"/>
  <c r="CS16" i="113"/>
  <c r="I17" i="113"/>
  <c r="Q17" i="113"/>
  <c r="Y17" i="113"/>
  <c r="AG17" i="113"/>
  <c r="AO17" i="113"/>
  <c r="AW17" i="113"/>
  <c r="BE17" i="113"/>
  <c r="BM17" i="113"/>
  <c r="BU17" i="113"/>
  <c r="CC17" i="113"/>
  <c r="CK17" i="113"/>
  <c r="CS17" i="113"/>
  <c r="I18" i="113"/>
  <c r="Q18" i="113"/>
  <c r="Y18" i="113"/>
  <c r="AG18" i="113"/>
  <c r="AO18" i="113"/>
  <c r="AW18" i="113"/>
  <c r="BE18" i="113"/>
  <c r="BM18" i="113"/>
  <c r="BU18" i="113"/>
  <c r="CC18" i="113"/>
  <c r="CK18" i="113"/>
  <c r="CS18" i="113"/>
  <c r="I19" i="113"/>
  <c r="Q19" i="113"/>
  <c r="CS19" i="113"/>
  <c r="I20" i="113"/>
  <c r="Q20" i="113"/>
  <c r="Y20" i="113"/>
  <c r="AG20" i="113"/>
  <c r="AO20" i="113"/>
  <c r="AW20" i="113"/>
  <c r="BE20" i="113"/>
  <c r="BM20" i="113"/>
  <c r="BU20" i="113"/>
  <c r="CC20" i="113"/>
  <c r="CK20" i="113"/>
  <c r="CS20" i="113"/>
  <c r="I21" i="113"/>
  <c r="Q21" i="113"/>
  <c r="Y21" i="113"/>
  <c r="AG21" i="113"/>
  <c r="AO21" i="113"/>
  <c r="AW21" i="113"/>
  <c r="BE21" i="113"/>
  <c r="BM21" i="113"/>
  <c r="BU21" i="113"/>
  <c r="CC21" i="113"/>
  <c r="CK21" i="113"/>
  <c r="CS21" i="113"/>
  <c r="I22" i="113"/>
  <c r="Q22" i="113"/>
  <c r="Y22" i="113"/>
  <c r="AG22" i="113"/>
  <c r="AO22" i="113"/>
  <c r="AW22" i="113"/>
  <c r="BE22" i="113"/>
  <c r="BM22" i="113"/>
  <c r="BU22" i="113"/>
  <c r="CC22" i="113"/>
  <c r="CK22" i="113"/>
  <c r="CS22" i="113"/>
  <c r="I23" i="113"/>
  <c r="Q23" i="113"/>
  <c r="Y23" i="113"/>
  <c r="AG23" i="113"/>
  <c r="AO23" i="113"/>
  <c r="AW23" i="113"/>
  <c r="BE23" i="113"/>
  <c r="BM23" i="113"/>
  <c r="BU23" i="113"/>
  <c r="CC23" i="113"/>
  <c r="CK23" i="113"/>
  <c r="CS23" i="113"/>
  <c r="I24" i="113"/>
  <c r="Q24" i="113"/>
  <c r="Y24" i="113"/>
  <c r="AG24" i="113"/>
  <c r="AO24" i="113"/>
  <c r="AW24" i="113"/>
  <c r="BE24" i="113"/>
  <c r="BM24" i="113"/>
  <c r="BU24" i="113"/>
  <c r="CC24" i="113"/>
  <c r="CK24" i="113"/>
  <c r="CS24" i="113"/>
  <c r="AH8" i="68"/>
  <c r="AH9" i="68"/>
  <c r="AH9" i="3"/>
  <c r="AH8" i="3"/>
  <c r="AH9" i="103"/>
  <c r="AH8" i="103"/>
  <c r="AH9" i="4"/>
  <c r="AH8" i="4"/>
  <c r="AH9" i="5"/>
  <c r="AH8" i="5"/>
  <c r="AH9" i="7"/>
  <c r="AH8" i="7"/>
  <c r="AH9" i="8"/>
  <c r="AH8" i="8"/>
  <c r="AH9" i="9"/>
  <c r="AH8" i="9"/>
  <c r="AH9" i="10"/>
  <c r="AH8" i="10"/>
  <c r="AH9" i="12"/>
  <c r="AH8" i="12"/>
  <c r="AH9" i="112"/>
  <c r="AH8" i="112"/>
  <c r="AH9" i="13"/>
  <c r="AH8" i="13"/>
  <c r="AH9" i="14"/>
  <c r="AH8" i="14"/>
  <c r="AH9" i="15"/>
  <c r="AH8" i="15"/>
  <c r="AH9" i="16"/>
  <c r="AH8" i="16"/>
  <c r="AH9" i="17"/>
  <c r="AH8" i="17"/>
  <c r="AH9" i="18"/>
  <c r="AH8" i="18"/>
  <c r="AH9" i="19"/>
  <c r="AH8" i="19"/>
  <c r="AH9" i="20"/>
  <c r="AH8" i="20"/>
  <c r="AH9" i="21"/>
  <c r="AH8" i="21"/>
  <c r="AH9" i="22"/>
  <c r="AH8" i="22"/>
  <c r="AH9" i="23"/>
  <c r="AH8" i="23"/>
  <c r="AH9" i="24"/>
  <c r="AH8" i="24"/>
  <c r="AH9" i="25"/>
  <c r="AH8" i="25"/>
  <c r="AH9" i="26"/>
  <c r="AH8" i="26"/>
  <c r="AH9" i="27"/>
  <c r="AH8" i="27"/>
  <c r="AH9" i="28"/>
  <c r="AH8" i="28"/>
  <c r="AH9" i="29"/>
  <c r="AH8" i="29"/>
  <c r="AH9" i="30"/>
  <c r="AH8" i="30"/>
  <c r="AH9" i="111"/>
  <c r="AH8" i="111"/>
  <c r="AH9" i="104"/>
  <c r="AH8" i="104"/>
  <c r="AH9" i="31"/>
  <c r="AH8" i="31"/>
  <c r="AH9" i="32"/>
  <c r="AH8" i="32"/>
  <c r="AH9" i="33"/>
  <c r="AH8" i="33"/>
  <c r="AH9" i="34"/>
  <c r="AH8" i="34"/>
  <c r="AH9" i="35"/>
  <c r="AH8" i="35"/>
  <c r="AH9" i="110"/>
  <c r="AH8" i="110"/>
  <c r="AH9" i="36"/>
  <c r="AH8" i="36"/>
  <c r="AH9" i="37"/>
  <c r="AH8" i="37"/>
  <c r="AH9" i="38"/>
  <c r="AH8" i="38"/>
  <c r="AH9" i="39"/>
  <c r="AH8" i="39"/>
  <c r="AH9" i="40"/>
  <c r="AH8" i="40"/>
  <c r="AH9" i="41"/>
  <c r="AH8" i="41"/>
  <c r="AH9" i="42"/>
  <c r="AH8" i="42"/>
  <c r="AH9" i="44"/>
  <c r="AH8" i="44"/>
  <c r="AH9" i="45"/>
  <c r="AH8" i="45"/>
  <c r="AH9" i="106"/>
  <c r="AH8" i="106"/>
  <c r="AH9" i="109"/>
  <c r="AH8" i="109"/>
  <c r="AH9" i="47"/>
  <c r="AH8" i="47"/>
  <c r="AH9" i="48"/>
  <c r="AH8" i="48"/>
  <c r="AH9" i="49"/>
  <c r="AH8" i="49"/>
  <c r="AH9" i="50"/>
  <c r="AH8" i="50"/>
  <c r="AH9" i="51"/>
  <c r="AH8" i="51"/>
  <c r="AH9" i="56"/>
  <c r="AH8" i="56"/>
  <c r="AH9" i="57"/>
  <c r="AH8" i="57"/>
  <c r="AH9" i="59"/>
  <c r="AH8" i="59"/>
  <c r="AH9" i="60"/>
  <c r="AH8" i="60"/>
  <c r="AH9" i="61"/>
  <c r="AH8" i="61"/>
  <c r="AH9" i="62"/>
  <c r="AH8" i="62"/>
  <c r="AH9" i="63"/>
  <c r="AH8" i="63"/>
  <c r="AH9" i="64"/>
  <c r="AH8" i="64"/>
  <c r="AH9" i="65"/>
  <c r="AH8" i="65"/>
  <c r="AH9" i="66"/>
  <c r="AH8" i="66"/>
  <c r="AH9" i="108"/>
  <c r="AH8" i="108"/>
  <c r="AH9" i="74"/>
  <c r="AH8" i="74"/>
  <c r="AH9" i="75"/>
  <c r="AH8" i="75"/>
  <c r="AH9" i="76"/>
  <c r="AH8" i="76"/>
  <c r="AH9" i="77"/>
  <c r="AH8" i="77"/>
  <c r="AH9" i="67"/>
  <c r="AH8" i="67"/>
  <c r="AH9" i="69"/>
  <c r="AH8" i="69"/>
  <c r="AH9" i="107"/>
  <c r="AH8" i="107"/>
  <c r="AH9" i="70"/>
  <c r="AH8" i="70"/>
  <c r="AH9" i="71"/>
  <c r="AH8" i="71"/>
  <c r="AH9" i="72"/>
  <c r="AH8" i="72"/>
  <c r="AH9" i="78"/>
  <c r="AH8" i="78"/>
  <c r="AH9" i="79"/>
  <c r="AH8" i="79"/>
  <c r="AH9" i="80"/>
  <c r="AH8" i="80"/>
  <c r="AH9" i="81"/>
  <c r="AH8" i="81"/>
  <c r="AH9" i="82"/>
  <c r="AH8" i="82"/>
  <c r="AH9" i="83"/>
  <c r="AH8" i="83"/>
  <c r="AH9" i="84"/>
  <c r="AH8" i="84"/>
  <c r="AH9" i="85"/>
  <c r="AH8" i="85"/>
  <c r="AH9" i="86"/>
  <c r="AH8" i="86"/>
  <c r="AH9" i="87"/>
  <c r="AH8" i="87"/>
  <c r="AH9" i="88"/>
  <c r="AH8" i="88"/>
  <c r="AH9" i="89"/>
  <c r="AH8" i="89"/>
  <c r="AH9" i="90"/>
  <c r="AH8" i="90"/>
  <c r="AH9" i="91"/>
  <c r="AH8" i="91"/>
  <c r="AH9" i="92"/>
  <c r="AH8" i="92"/>
  <c r="AH9" i="93"/>
  <c r="AH8" i="93"/>
  <c r="AH9" i="94"/>
  <c r="AH8" i="94"/>
  <c r="AH9" i="97"/>
  <c r="AH8" i="97"/>
  <c r="AH9" i="98"/>
  <c r="AH8" i="98"/>
  <c r="AH9" i="99"/>
  <c r="AH8" i="99"/>
  <c r="AH9" i="100"/>
  <c r="AH8" i="100"/>
  <c r="AH9" i="101"/>
  <c r="AH8" i="101"/>
  <c r="AH9" i="2"/>
  <c r="AH8" i="2"/>
  <c r="CG23" i="113"/>
  <c r="AT22" i="113"/>
  <c r="BC21" i="113"/>
  <c r="F21" i="113"/>
  <c r="AP20" i="113"/>
  <c r="CR19" i="113"/>
  <c r="X19" i="113"/>
  <c r="BF18" i="113"/>
  <c r="Z17" i="113"/>
  <c r="CP15" i="113"/>
  <c r="BR15" i="113"/>
  <c r="AL15" i="113"/>
  <c r="F15" i="113"/>
  <c r="CS26" i="113"/>
  <c r="CR26" i="113"/>
  <c r="CQ26" i="113"/>
  <c r="CP26" i="113"/>
  <c r="CO26" i="113"/>
  <c r="CN26" i="113"/>
  <c r="CM26" i="113"/>
  <c r="CL26" i="113"/>
  <c r="CK26" i="113"/>
  <c r="CJ26" i="113"/>
  <c r="CI26" i="113"/>
  <c r="CH26" i="113"/>
  <c r="CG26" i="113"/>
  <c r="CF26" i="113"/>
  <c r="CE26" i="113"/>
  <c r="CD26" i="113"/>
  <c r="CC26" i="113"/>
  <c r="CB26" i="113"/>
  <c r="CA26" i="113"/>
  <c r="BZ26" i="113"/>
  <c r="BY26" i="113"/>
  <c r="BX26" i="113"/>
  <c r="BW26" i="113"/>
  <c r="BV26" i="113"/>
  <c r="BU26" i="113"/>
  <c r="BT26" i="113"/>
  <c r="BS26" i="113"/>
  <c r="BR26" i="113"/>
  <c r="BQ26" i="113"/>
  <c r="BP26" i="113"/>
  <c r="BO26" i="113"/>
  <c r="BN26" i="113"/>
  <c r="BM26" i="113"/>
  <c r="BL26" i="113"/>
  <c r="BK26" i="113"/>
  <c r="BJ26" i="113"/>
  <c r="BI26" i="113"/>
  <c r="BH26" i="113"/>
  <c r="BG26" i="113"/>
  <c r="BF26" i="113"/>
  <c r="BE26" i="113"/>
  <c r="BD26" i="113"/>
  <c r="BC26" i="113"/>
  <c r="BB26" i="113"/>
  <c r="BA26" i="113"/>
  <c r="AZ26" i="113"/>
  <c r="AY26" i="113"/>
  <c r="AX26" i="113"/>
  <c r="AW26" i="113"/>
  <c r="AV26" i="113"/>
  <c r="AU26" i="113"/>
  <c r="AT26" i="113"/>
  <c r="AS26" i="113"/>
  <c r="AR26" i="113"/>
  <c r="AQ26" i="113"/>
  <c r="AP26" i="113"/>
  <c r="AO26" i="113"/>
  <c r="AN26" i="113"/>
  <c r="AM26" i="113"/>
  <c r="AL26" i="113"/>
  <c r="AK26" i="113"/>
  <c r="AJ26" i="113"/>
  <c r="AI26" i="113"/>
  <c r="AH26" i="113"/>
  <c r="AG26" i="113"/>
  <c r="AF26" i="113"/>
  <c r="AE26" i="113"/>
  <c r="AD26" i="113"/>
  <c r="AC26" i="113"/>
  <c r="AB26" i="113"/>
  <c r="AA26" i="113"/>
  <c r="Z26" i="113"/>
  <c r="Y26" i="113"/>
  <c r="X26" i="113"/>
  <c r="W26" i="113"/>
  <c r="V26" i="113"/>
  <c r="U26" i="113"/>
  <c r="T26" i="113"/>
  <c r="S26" i="113"/>
  <c r="R26" i="113"/>
  <c r="Q26" i="113"/>
  <c r="P26" i="113"/>
  <c r="O26" i="113"/>
  <c r="N26" i="113"/>
  <c r="M26" i="113"/>
  <c r="L26" i="113"/>
  <c r="K26" i="113"/>
  <c r="J26" i="113"/>
  <c r="I26" i="113"/>
  <c r="H26" i="113"/>
  <c r="G26" i="113"/>
  <c r="F26" i="113"/>
  <c r="E26" i="113"/>
  <c r="D26" i="113"/>
  <c r="C26" i="113"/>
  <c r="B26" i="113"/>
  <c r="CS25" i="113"/>
  <c r="CR25" i="113"/>
  <c r="CQ25" i="113"/>
  <c r="CP25" i="113"/>
  <c r="CO25" i="113"/>
  <c r="CN25" i="113"/>
  <c r="CM25" i="113"/>
  <c r="CL25" i="113"/>
  <c r="CK25" i="113"/>
  <c r="CJ25" i="113"/>
  <c r="CI25" i="113"/>
  <c r="CH25" i="113"/>
  <c r="CG25" i="113"/>
  <c r="CF25" i="113"/>
  <c r="CE25" i="113"/>
  <c r="CD25" i="113"/>
  <c r="CC25" i="113"/>
  <c r="CB25" i="113"/>
  <c r="CA25" i="113"/>
  <c r="BZ25" i="113"/>
  <c r="BY25" i="113"/>
  <c r="BX25" i="113"/>
  <c r="BW25" i="113"/>
  <c r="BV25" i="113"/>
  <c r="BU25" i="113"/>
  <c r="BT25" i="113"/>
  <c r="BS25" i="113"/>
  <c r="BR25" i="113"/>
  <c r="BQ25" i="113"/>
  <c r="BP25" i="113"/>
  <c r="BO25" i="113"/>
  <c r="BN25" i="113"/>
  <c r="BM25" i="113"/>
  <c r="BL25" i="113"/>
  <c r="BK25" i="113"/>
  <c r="BJ25" i="113"/>
  <c r="BI25" i="113"/>
  <c r="BH25" i="113"/>
  <c r="BG25" i="113"/>
  <c r="BF25" i="113"/>
  <c r="BE25" i="113"/>
  <c r="BD25" i="113"/>
  <c r="BC25" i="113"/>
  <c r="BB25" i="113"/>
  <c r="BA25" i="113"/>
  <c r="AZ25" i="113"/>
  <c r="AY25" i="113"/>
  <c r="AX25" i="113"/>
  <c r="AW25" i="113"/>
  <c r="AV25" i="113"/>
  <c r="AU25" i="113"/>
  <c r="AT25" i="113"/>
  <c r="AS25" i="113"/>
  <c r="AR25" i="113"/>
  <c r="AQ25" i="113"/>
  <c r="AP25" i="113"/>
  <c r="AO25" i="113"/>
  <c r="AN25" i="113"/>
  <c r="AM25" i="113"/>
  <c r="AL25" i="113"/>
  <c r="AK25" i="113"/>
  <c r="AJ25" i="113"/>
  <c r="AI25" i="113"/>
  <c r="AH25" i="113"/>
  <c r="AG25" i="113"/>
  <c r="AF25" i="113"/>
  <c r="AE25" i="113"/>
  <c r="AD25" i="113"/>
  <c r="AC25" i="113"/>
  <c r="AB25" i="113"/>
  <c r="AA25" i="113"/>
  <c r="Z25" i="113"/>
  <c r="Y25" i="113"/>
  <c r="X25" i="113"/>
  <c r="W25" i="113"/>
  <c r="V25" i="113"/>
  <c r="U25" i="113"/>
  <c r="T25" i="113"/>
  <c r="S25" i="113"/>
  <c r="R25" i="113"/>
  <c r="Q25" i="113"/>
  <c r="P25" i="113"/>
  <c r="O25" i="113"/>
  <c r="N25" i="113"/>
  <c r="M25" i="113"/>
  <c r="L25" i="113"/>
  <c r="K25" i="113"/>
  <c r="J25" i="113"/>
  <c r="I25" i="113"/>
  <c r="H25" i="113"/>
  <c r="G25" i="113"/>
  <c r="F25" i="113"/>
  <c r="E25" i="113"/>
  <c r="D25" i="113"/>
  <c r="C25" i="113"/>
  <c r="CR24" i="113"/>
  <c r="CQ24" i="113"/>
  <c r="CP24" i="113"/>
  <c r="CO24" i="113"/>
  <c r="CN24" i="113"/>
  <c r="CM24" i="113"/>
  <c r="CL24" i="113"/>
  <c r="CJ24" i="113"/>
  <c r="CI24" i="113"/>
  <c r="CH24" i="113"/>
  <c r="CG24" i="113"/>
  <c r="CF24" i="113"/>
  <c r="CE24" i="113"/>
  <c r="CD24" i="113"/>
  <c r="CB24" i="113"/>
  <c r="CA24" i="113"/>
  <c r="BZ24" i="113"/>
  <c r="BY24" i="113"/>
  <c r="BX24" i="113"/>
  <c r="BW24" i="113"/>
  <c r="BV24" i="113"/>
  <c r="BT24" i="113"/>
  <c r="BS24" i="113"/>
  <c r="BR24" i="113"/>
  <c r="BQ24" i="113"/>
  <c r="BP24" i="113"/>
  <c r="BO24" i="113"/>
  <c r="BN24" i="113"/>
  <c r="BL24" i="113"/>
  <c r="BK24" i="113"/>
  <c r="BJ24" i="113"/>
  <c r="BI24" i="113"/>
  <c r="BH24" i="113"/>
  <c r="BG24" i="113"/>
  <c r="BF24" i="113"/>
  <c r="BD24" i="113"/>
  <c r="BC24" i="113"/>
  <c r="BB24" i="113"/>
  <c r="BA24" i="113"/>
  <c r="AZ24" i="113"/>
  <c r="AY24" i="113"/>
  <c r="AX24" i="113"/>
  <c r="AV24" i="113"/>
  <c r="AU24" i="113"/>
  <c r="AT24" i="113"/>
  <c r="AS24" i="113"/>
  <c r="AR24" i="113"/>
  <c r="AQ24" i="113"/>
  <c r="AP24" i="113"/>
  <c r="AN24" i="113"/>
  <c r="AM24" i="113"/>
  <c r="AL24" i="113"/>
  <c r="AK24" i="113"/>
  <c r="AJ24" i="113"/>
  <c r="AI24" i="113"/>
  <c r="AH24" i="113"/>
  <c r="AF24" i="113"/>
  <c r="AE24" i="113"/>
  <c r="AD24" i="113"/>
  <c r="AC24" i="113"/>
  <c r="AB24" i="113"/>
  <c r="AA24" i="113"/>
  <c r="Z24" i="113"/>
  <c r="X24" i="113"/>
  <c r="W24" i="113"/>
  <c r="V24" i="113"/>
  <c r="U24" i="113"/>
  <c r="T24" i="113"/>
  <c r="S24" i="113"/>
  <c r="R24" i="113"/>
  <c r="P24" i="113"/>
  <c r="O24" i="113"/>
  <c r="N24" i="113"/>
  <c r="M24" i="113"/>
  <c r="L24" i="113"/>
  <c r="K24" i="113"/>
  <c r="J24" i="113"/>
  <c r="H24" i="113"/>
  <c r="G24" i="113"/>
  <c r="F24" i="113"/>
  <c r="E24" i="113"/>
  <c r="D24" i="113"/>
  <c r="C24" i="113"/>
  <c r="B24" i="113"/>
  <c r="CR23" i="113"/>
  <c r="CQ23" i="113"/>
  <c r="CP23" i="113"/>
  <c r="CO23" i="113"/>
  <c r="CN23" i="113"/>
  <c r="CM23" i="113"/>
  <c r="CL23" i="113"/>
  <c r="CJ23" i="113"/>
  <c r="CI23" i="113"/>
  <c r="CH23" i="113"/>
  <c r="CF23" i="113"/>
  <c r="CE23" i="113"/>
  <c r="CD23" i="113"/>
  <c r="CB23" i="113"/>
  <c r="CA23" i="113"/>
  <c r="BZ23" i="113"/>
  <c r="BY23" i="113"/>
  <c r="BX23" i="113"/>
  <c r="BW23" i="113"/>
  <c r="BV23" i="113"/>
  <c r="BT23" i="113"/>
  <c r="BS23" i="113"/>
  <c r="BR23" i="113"/>
  <c r="BQ23" i="113"/>
  <c r="BP23" i="113"/>
  <c r="BO23" i="113"/>
  <c r="BN23" i="113"/>
  <c r="BL23" i="113"/>
  <c r="BK23" i="113"/>
  <c r="BJ23" i="113"/>
  <c r="BI23" i="113"/>
  <c r="BH23" i="113"/>
  <c r="BG23" i="113"/>
  <c r="BF23" i="113"/>
  <c r="BD23" i="113"/>
  <c r="BC23" i="113"/>
  <c r="BB23" i="113"/>
  <c r="BA23" i="113"/>
  <c r="AZ23" i="113"/>
  <c r="AY23" i="113"/>
  <c r="AX23" i="113"/>
  <c r="AV23" i="113"/>
  <c r="AU23" i="113"/>
  <c r="AT23" i="113"/>
  <c r="AS23" i="113"/>
  <c r="AR23" i="113"/>
  <c r="AQ23" i="113"/>
  <c r="AP23" i="113"/>
  <c r="AN23" i="113"/>
  <c r="AM23" i="113"/>
  <c r="AL23" i="113"/>
  <c r="AK23" i="113"/>
  <c r="AJ23" i="113"/>
  <c r="AI23" i="113"/>
  <c r="AH23" i="113"/>
  <c r="AF23" i="113"/>
  <c r="AE23" i="113"/>
  <c r="AD23" i="113"/>
  <c r="AC23" i="113"/>
  <c r="AB23" i="113"/>
  <c r="AA23" i="113"/>
  <c r="Z23" i="113"/>
  <c r="X23" i="113"/>
  <c r="W23" i="113"/>
  <c r="V23" i="113"/>
  <c r="U23" i="113"/>
  <c r="T23" i="113"/>
  <c r="S23" i="113"/>
  <c r="R23" i="113"/>
  <c r="P23" i="113"/>
  <c r="O23" i="113"/>
  <c r="N23" i="113"/>
  <c r="M23" i="113"/>
  <c r="L23" i="113"/>
  <c r="K23" i="113"/>
  <c r="J23" i="113"/>
  <c r="H23" i="113"/>
  <c r="G23" i="113"/>
  <c r="F23" i="113"/>
  <c r="E23" i="113"/>
  <c r="D23" i="113"/>
  <c r="C23" i="113"/>
  <c r="CR22" i="113"/>
  <c r="CQ22" i="113"/>
  <c r="CP22" i="113"/>
  <c r="CO22" i="113"/>
  <c r="CN22" i="113"/>
  <c r="CM22" i="113"/>
  <c r="CL22" i="113"/>
  <c r="CJ22" i="113"/>
  <c r="CI22" i="113"/>
  <c r="CH22" i="113"/>
  <c r="CG22" i="113"/>
  <c r="CF22" i="113"/>
  <c r="CE22" i="113"/>
  <c r="CD22" i="113"/>
  <c r="CB22" i="113"/>
  <c r="CA22" i="113"/>
  <c r="BZ22" i="113"/>
  <c r="BY22" i="113"/>
  <c r="BX22" i="113"/>
  <c r="BW22" i="113"/>
  <c r="BV22" i="113"/>
  <c r="BT22" i="113"/>
  <c r="BS22" i="113"/>
  <c r="BR22" i="113"/>
  <c r="BQ22" i="113"/>
  <c r="BP22" i="113"/>
  <c r="BO22" i="113"/>
  <c r="BN22" i="113"/>
  <c r="BL22" i="113"/>
  <c r="BK22" i="113"/>
  <c r="BJ22" i="113"/>
  <c r="BI22" i="113"/>
  <c r="BH22" i="113"/>
  <c r="BG22" i="113"/>
  <c r="BF22" i="113"/>
  <c r="BD22" i="113"/>
  <c r="BC22" i="113"/>
  <c r="BB22" i="113"/>
  <c r="BA22" i="113"/>
  <c r="AZ22" i="113"/>
  <c r="AY22" i="113"/>
  <c r="AX22" i="113"/>
  <c r="AV22" i="113"/>
  <c r="AU22" i="113"/>
  <c r="AS22" i="113"/>
  <c r="AR22" i="113"/>
  <c r="AQ22" i="113"/>
  <c r="AP22" i="113"/>
  <c r="AN22" i="113"/>
  <c r="AM22" i="113"/>
  <c r="AL22" i="113"/>
  <c r="AK22" i="113"/>
  <c r="AJ22" i="113"/>
  <c r="AI22" i="113"/>
  <c r="AH22" i="113"/>
  <c r="AF22" i="113"/>
  <c r="AE22" i="113"/>
  <c r="AD22" i="113"/>
  <c r="AC22" i="113"/>
  <c r="AB22" i="113"/>
  <c r="AA22" i="113"/>
  <c r="Z22" i="113"/>
  <c r="X22" i="113"/>
  <c r="W22" i="113"/>
  <c r="V22" i="113"/>
  <c r="U22" i="113"/>
  <c r="T22" i="113"/>
  <c r="S22" i="113"/>
  <c r="R22" i="113"/>
  <c r="P22" i="113"/>
  <c r="O22" i="113"/>
  <c r="N22" i="113"/>
  <c r="M22" i="113"/>
  <c r="L22" i="113"/>
  <c r="K22" i="113"/>
  <c r="J22" i="113"/>
  <c r="H22" i="113"/>
  <c r="G22" i="113"/>
  <c r="F22" i="113"/>
  <c r="E22" i="113"/>
  <c r="D22" i="113"/>
  <c r="C22" i="113"/>
  <c r="B22" i="113"/>
  <c r="CR21" i="113"/>
  <c r="CQ21" i="113"/>
  <c r="CP21" i="113"/>
  <c r="CO21" i="113"/>
  <c r="CN21" i="113"/>
  <c r="CM21" i="113"/>
  <c r="CL21" i="113"/>
  <c r="CJ21" i="113"/>
  <c r="CI21" i="113"/>
  <c r="CH21" i="113"/>
  <c r="CG21" i="113"/>
  <c r="CF21" i="113"/>
  <c r="CE21" i="113"/>
  <c r="CD21" i="113"/>
  <c r="CB21" i="113"/>
  <c r="CA21" i="113"/>
  <c r="BZ21" i="113"/>
  <c r="BY21" i="113"/>
  <c r="BX21" i="113"/>
  <c r="BW21" i="113"/>
  <c r="BV21" i="113"/>
  <c r="BT21" i="113"/>
  <c r="BS21" i="113"/>
  <c r="BR21" i="113"/>
  <c r="BQ21" i="113"/>
  <c r="BP21" i="113"/>
  <c r="BO21" i="113"/>
  <c r="BN21" i="113"/>
  <c r="BL21" i="113"/>
  <c r="BK21" i="113"/>
  <c r="BJ21" i="113"/>
  <c r="BI21" i="113"/>
  <c r="BH21" i="113"/>
  <c r="BG21" i="113"/>
  <c r="BF21" i="113"/>
  <c r="BD21" i="113"/>
  <c r="BB21" i="113"/>
  <c r="BA21" i="113"/>
  <c r="AZ21" i="113"/>
  <c r="AY21" i="113"/>
  <c r="AX21" i="113"/>
  <c r="AV21" i="113"/>
  <c r="AU21" i="113"/>
  <c r="AT21" i="113"/>
  <c r="AS21" i="113"/>
  <c r="AR21" i="113"/>
  <c r="AQ21" i="113"/>
  <c r="AP21" i="113"/>
  <c r="AN21" i="113"/>
  <c r="AM21" i="113"/>
  <c r="AL21" i="113"/>
  <c r="AK21" i="113"/>
  <c r="AJ21" i="113"/>
  <c r="AI21" i="113"/>
  <c r="AH21" i="113"/>
  <c r="AF21" i="113"/>
  <c r="AE21" i="113"/>
  <c r="AD21" i="113"/>
  <c r="AC21" i="113"/>
  <c r="AB21" i="113"/>
  <c r="AA21" i="113"/>
  <c r="Z21" i="113"/>
  <c r="X21" i="113"/>
  <c r="W21" i="113"/>
  <c r="V21" i="113"/>
  <c r="U21" i="113"/>
  <c r="T21" i="113"/>
  <c r="S21" i="113"/>
  <c r="R21" i="113"/>
  <c r="P21" i="113"/>
  <c r="O21" i="113"/>
  <c r="N21" i="113"/>
  <c r="M21" i="113"/>
  <c r="L21" i="113"/>
  <c r="K21" i="113"/>
  <c r="J21" i="113"/>
  <c r="H21" i="113"/>
  <c r="G21" i="113"/>
  <c r="E21" i="113"/>
  <c r="D21" i="113"/>
  <c r="C21" i="113"/>
  <c r="B21" i="113"/>
  <c r="CR20" i="113"/>
  <c r="CQ20" i="113"/>
  <c r="CP20" i="113"/>
  <c r="CO20" i="113"/>
  <c r="CN20" i="113"/>
  <c r="CM20" i="113"/>
  <c r="CL20" i="113"/>
  <c r="CJ20" i="113"/>
  <c r="CI20" i="113"/>
  <c r="CH20" i="113"/>
  <c r="CG20" i="113"/>
  <c r="CF20" i="113"/>
  <c r="CE20" i="113"/>
  <c r="CD20" i="113"/>
  <c r="CB20" i="113"/>
  <c r="CA20" i="113"/>
  <c r="BZ20" i="113"/>
  <c r="BY20" i="113"/>
  <c r="BX20" i="113"/>
  <c r="BW20" i="113"/>
  <c r="BV20" i="113"/>
  <c r="BT20" i="113"/>
  <c r="BS20" i="113"/>
  <c r="BR20" i="113"/>
  <c r="BQ20" i="113"/>
  <c r="BP20" i="113"/>
  <c r="BO20" i="113"/>
  <c r="BN20" i="113"/>
  <c r="BL20" i="113"/>
  <c r="BK20" i="113"/>
  <c r="BJ20" i="113"/>
  <c r="BI20" i="113"/>
  <c r="BH20" i="113"/>
  <c r="BG20" i="113"/>
  <c r="BF20" i="113"/>
  <c r="BD20" i="113"/>
  <c r="BC20" i="113"/>
  <c r="BB20" i="113"/>
  <c r="BA20" i="113"/>
  <c r="AZ20" i="113"/>
  <c r="AY20" i="113"/>
  <c r="AX20" i="113"/>
  <c r="AV20" i="113"/>
  <c r="AU20" i="113"/>
  <c r="AT20" i="113"/>
  <c r="AS20" i="113"/>
  <c r="AR20" i="113"/>
  <c r="AQ20" i="113"/>
  <c r="AN20" i="113"/>
  <c r="AM20" i="113"/>
  <c r="AL20" i="113"/>
  <c r="AK20" i="113"/>
  <c r="AJ20" i="113"/>
  <c r="AI20" i="113"/>
  <c r="AH20" i="113"/>
  <c r="AF20" i="113"/>
  <c r="AE20" i="113"/>
  <c r="AD20" i="113"/>
  <c r="AC20" i="113"/>
  <c r="AB20" i="113"/>
  <c r="AA20" i="113"/>
  <c r="Z20" i="113"/>
  <c r="X20" i="113"/>
  <c r="W20" i="113"/>
  <c r="V20" i="113"/>
  <c r="U20" i="113"/>
  <c r="T20" i="113"/>
  <c r="S20" i="113"/>
  <c r="R20" i="113"/>
  <c r="P20" i="113"/>
  <c r="O20" i="113"/>
  <c r="N20" i="113"/>
  <c r="M20" i="113"/>
  <c r="L20" i="113"/>
  <c r="K20" i="113"/>
  <c r="J20" i="113"/>
  <c r="H20" i="113"/>
  <c r="G20" i="113"/>
  <c r="F20" i="113"/>
  <c r="E20" i="113"/>
  <c r="D20" i="113"/>
  <c r="C20" i="113"/>
  <c r="B20" i="113"/>
  <c r="CQ19" i="113"/>
  <c r="CP19" i="113"/>
  <c r="CO19" i="113"/>
  <c r="CN19" i="113"/>
  <c r="CM19" i="113"/>
  <c r="CL19" i="113"/>
  <c r="CK19" i="113"/>
  <c r="CJ19" i="113"/>
  <c r="CI19" i="113"/>
  <c r="CH19" i="113"/>
  <c r="CG19" i="113"/>
  <c r="CF19" i="113"/>
  <c r="CE19" i="113"/>
  <c r="CD19" i="113"/>
  <c r="CC19" i="113"/>
  <c r="CB19" i="113"/>
  <c r="CA19" i="113"/>
  <c r="BZ19" i="113"/>
  <c r="BY19" i="113"/>
  <c r="BX19" i="113"/>
  <c r="BW19" i="113"/>
  <c r="BV19" i="113"/>
  <c r="BU19" i="113"/>
  <c r="BT19" i="113"/>
  <c r="BS19" i="113"/>
  <c r="BR19" i="113"/>
  <c r="BQ19" i="113"/>
  <c r="BP19" i="113"/>
  <c r="BO19" i="113"/>
  <c r="BN19" i="113"/>
  <c r="BM19" i="113"/>
  <c r="BL19" i="113"/>
  <c r="BK19" i="113"/>
  <c r="BJ19" i="113"/>
  <c r="BI19" i="113"/>
  <c r="BH19" i="113"/>
  <c r="BG19" i="113"/>
  <c r="BF19" i="113"/>
  <c r="BE19" i="113"/>
  <c r="BD19" i="113"/>
  <c r="BC19" i="113"/>
  <c r="BB19" i="113"/>
  <c r="BA19" i="113"/>
  <c r="AZ19" i="113"/>
  <c r="AY19" i="113"/>
  <c r="AX19" i="113"/>
  <c r="AW19" i="113"/>
  <c r="AV19" i="113"/>
  <c r="AU19" i="113"/>
  <c r="AT19" i="113"/>
  <c r="AS19" i="113"/>
  <c r="AR19" i="113"/>
  <c r="AQ19" i="113"/>
  <c r="AP19" i="113"/>
  <c r="AO19" i="113"/>
  <c r="AN19" i="113"/>
  <c r="AM19" i="113"/>
  <c r="AL19" i="113"/>
  <c r="AK19" i="113"/>
  <c r="AJ19" i="113"/>
  <c r="AI19" i="113"/>
  <c r="AH19" i="113"/>
  <c r="AG19" i="113"/>
  <c r="AF19" i="113"/>
  <c r="AE19" i="113"/>
  <c r="AD19" i="113"/>
  <c r="AC19" i="113"/>
  <c r="AB19" i="113"/>
  <c r="AA19" i="113"/>
  <c r="Z19" i="113"/>
  <c r="Y19" i="113"/>
  <c r="W19" i="113"/>
  <c r="V19" i="113"/>
  <c r="U19" i="113"/>
  <c r="T19" i="113"/>
  <c r="S19" i="113"/>
  <c r="R19" i="113"/>
  <c r="P19" i="113"/>
  <c r="O19" i="113"/>
  <c r="N19" i="113"/>
  <c r="M19" i="113"/>
  <c r="L19" i="113"/>
  <c r="K19" i="113"/>
  <c r="J19" i="113"/>
  <c r="H19" i="113"/>
  <c r="G19" i="113"/>
  <c r="F19" i="113"/>
  <c r="E19" i="113"/>
  <c r="D19" i="113"/>
  <c r="C19" i="113"/>
  <c r="B19" i="113"/>
  <c r="CR18" i="113"/>
  <c r="CQ18" i="113"/>
  <c r="CP18" i="113"/>
  <c r="CO18" i="113"/>
  <c r="CN18" i="113"/>
  <c r="CM18" i="113"/>
  <c r="CL18" i="113"/>
  <c r="CJ18" i="113"/>
  <c r="CI18" i="113"/>
  <c r="CH18" i="113"/>
  <c r="CG18" i="113"/>
  <c r="CF18" i="113"/>
  <c r="CE18" i="113"/>
  <c r="CD18" i="113"/>
  <c r="CB18" i="113"/>
  <c r="CA18" i="113"/>
  <c r="BZ18" i="113"/>
  <c r="BY18" i="113"/>
  <c r="BX18" i="113"/>
  <c r="BW18" i="113"/>
  <c r="BV18" i="113"/>
  <c r="BT18" i="113"/>
  <c r="BS18" i="113"/>
  <c r="BR18" i="113"/>
  <c r="BQ18" i="113"/>
  <c r="BP18" i="113"/>
  <c r="BO18" i="113"/>
  <c r="BN18" i="113"/>
  <c r="BL18" i="113"/>
  <c r="BK18" i="113"/>
  <c r="BJ18" i="113"/>
  <c r="BI18" i="113"/>
  <c r="BH18" i="113"/>
  <c r="BG18" i="113"/>
  <c r="BD18" i="113"/>
  <c r="BC18" i="113"/>
  <c r="BB18" i="113"/>
  <c r="BA18" i="113"/>
  <c r="AZ18" i="113"/>
  <c r="AY18" i="113"/>
  <c r="AX18" i="113"/>
  <c r="AV18" i="113"/>
  <c r="AU18" i="113"/>
  <c r="AT18" i="113"/>
  <c r="AS18" i="113"/>
  <c r="AR18" i="113"/>
  <c r="AQ18" i="113"/>
  <c r="AP18" i="113"/>
  <c r="AN18" i="113"/>
  <c r="AM18" i="113"/>
  <c r="AL18" i="113"/>
  <c r="AK18" i="113"/>
  <c r="AJ18" i="113"/>
  <c r="AI18" i="113"/>
  <c r="AH18" i="113"/>
  <c r="AF18" i="113"/>
  <c r="AE18" i="113"/>
  <c r="AD18" i="113"/>
  <c r="AC18" i="113"/>
  <c r="AB18" i="113"/>
  <c r="AA18" i="113"/>
  <c r="Z18" i="113"/>
  <c r="X18" i="113"/>
  <c r="W18" i="113"/>
  <c r="V18" i="113"/>
  <c r="U18" i="113"/>
  <c r="T18" i="113"/>
  <c r="S18" i="113"/>
  <c r="R18" i="113"/>
  <c r="P18" i="113"/>
  <c r="O18" i="113"/>
  <c r="N18" i="113"/>
  <c r="M18" i="113"/>
  <c r="L18" i="113"/>
  <c r="K18" i="113"/>
  <c r="J18" i="113"/>
  <c r="H18" i="113"/>
  <c r="G18" i="113"/>
  <c r="F18" i="113"/>
  <c r="E18" i="113"/>
  <c r="D18" i="113"/>
  <c r="C18" i="113"/>
  <c r="B18" i="113"/>
  <c r="CR17" i="113"/>
  <c r="CQ17" i="113"/>
  <c r="CP17" i="113"/>
  <c r="CO17" i="113"/>
  <c r="CN17" i="113"/>
  <c r="CM17" i="113"/>
  <c r="CL17" i="113"/>
  <c r="CJ17" i="113"/>
  <c r="CI17" i="113"/>
  <c r="CH17" i="113"/>
  <c r="CG17" i="113"/>
  <c r="CF17" i="113"/>
  <c r="CE17" i="113"/>
  <c r="CD17" i="113"/>
  <c r="CB17" i="113"/>
  <c r="CA17" i="113"/>
  <c r="BZ17" i="113"/>
  <c r="BY17" i="113"/>
  <c r="BX17" i="113"/>
  <c r="BW17" i="113"/>
  <c r="BV17" i="113"/>
  <c r="BT17" i="113"/>
  <c r="BS17" i="113"/>
  <c r="BR17" i="113"/>
  <c r="BQ17" i="113"/>
  <c r="BP17" i="113"/>
  <c r="BO17" i="113"/>
  <c r="BN17" i="113"/>
  <c r="BL17" i="113"/>
  <c r="BK17" i="113"/>
  <c r="BJ17" i="113"/>
  <c r="BI17" i="113"/>
  <c r="BH17" i="113"/>
  <c r="BG17" i="113"/>
  <c r="BF17" i="113"/>
  <c r="BD17" i="113"/>
  <c r="BC17" i="113"/>
  <c r="BB17" i="113"/>
  <c r="BA17" i="113"/>
  <c r="AZ17" i="113"/>
  <c r="AY17" i="113"/>
  <c r="AX17" i="113"/>
  <c r="AV17" i="113"/>
  <c r="AU17" i="113"/>
  <c r="AT17" i="113"/>
  <c r="AS17" i="113"/>
  <c r="AR17" i="113"/>
  <c r="AQ17" i="113"/>
  <c r="AP17" i="113"/>
  <c r="AN17" i="113"/>
  <c r="AM17" i="113"/>
  <c r="AL17" i="113"/>
  <c r="AK17" i="113"/>
  <c r="AJ17" i="113"/>
  <c r="AI17" i="113"/>
  <c r="AH17" i="113"/>
  <c r="AF17" i="113"/>
  <c r="AE17" i="113"/>
  <c r="AD17" i="113"/>
  <c r="AC17" i="113"/>
  <c r="AB17" i="113"/>
  <c r="AA17" i="113"/>
  <c r="X17" i="113"/>
  <c r="W17" i="113"/>
  <c r="V17" i="113"/>
  <c r="U17" i="113"/>
  <c r="T17" i="113"/>
  <c r="S17" i="113"/>
  <c r="R17" i="113"/>
  <c r="P17" i="113"/>
  <c r="O17" i="113"/>
  <c r="N17" i="113"/>
  <c r="M17" i="113"/>
  <c r="L17" i="113"/>
  <c r="K17" i="113"/>
  <c r="J17" i="113"/>
  <c r="H17" i="113"/>
  <c r="G17" i="113"/>
  <c r="F17" i="113"/>
  <c r="E17" i="113"/>
  <c r="D17" i="113"/>
  <c r="C17" i="113"/>
  <c r="B17" i="113"/>
  <c r="CR16" i="113"/>
  <c r="CQ16" i="113"/>
  <c r="CP16" i="113"/>
  <c r="CO16" i="113"/>
  <c r="CN16" i="113"/>
  <c r="CM16" i="113"/>
  <c r="CJ16" i="113"/>
  <c r="CI16" i="113"/>
  <c r="CH16" i="113"/>
  <c r="CG16" i="113"/>
  <c r="CF16" i="113"/>
  <c r="CE16" i="113"/>
  <c r="CD16" i="113"/>
  <c r="CB16" i="113"/>
  <c r="CA16" i="113"/>
  <c r="BZ16" i="113"/>
  <c r="BY16" i="113"/>
  <c r="BX16" i="113"/>
  <c r="BV16" i="113"/>
  <c r="BT16" i="113"/>
  <c r="BS16" i="113"/>
  <c r="BR16" i="113"/>
  <c r="BQ16" i="113"/>
  <c r="BP16" i="113"/>
  <c r="BO16" i="113"/>
  <c r="BL16" i="113"/>
  <c r="BK16" i="113"/>
  <c r="BJ16" i="113"/>
  <c r="BI16" i="113"/>
  <c r="BH16" i="113"/>
  <c r="BF16" i="113"/>
  <c r="BD16" i="113"/>
  <c r="BC16" i="113"/>
  <c r="BB16" i="113"/>
  <c r="BA16" i="113"/>
  <c r="AZ16" i="113"/>
  <c r="AV16" i="113"/>
  <c r="AU16" i="113"/>
  <c r="AT16" i="113"/>
  <c r="AS16" i="113"/>
  <c r="AR16" i="113"/>
  <c r="AQ16" i="113"/>
  <c r="AN16" i="113"/>
  <c r="AM16" i="113"/>
  <c r="AL16" i="113"/>
  <c r="AK16" i="113"/>
  <c r="AJ16" i="113"/>
  <c r="AH16" i="113"/>
  <c r="AF16" i="113"/>
  <c r="AE16" i="113"/>
  <c r="AD16" i="113"/>
  <c r="AC16" i="113"/>
  <c r="AB16" i="113"/>
  <c r="AA16" i="113"/>
  <c r="X16" i="113"/>
  <c r="W16" i="113"/>
  <c r="V16" i="113"/>
  <c r="U16" i="113"/>
  <c r="T16" i="113"/>
  <c r="S16" i="113"/>
  <c r="R16" i="113"/>
  <c r="P16" i="113"/>
  <c r="O16" i="113"/>
  <c r="N16" i="113"/>
  <c r="M16" i="113"/>
  <c r="L16" i="113"/>
  <c r="J16" i="113"/>
  <c r="H16" i="113"/>
  <c r="G16" i="113"/>
  <c r="F16" i="113"/>
  <c r="E16" i="113"/>
  <c r="C16" i="113"/>
  <c r="CN15" i="113"/>
  <c r="CM15" i="113"/>
  <c r="CH15" i="113"/>
  <c r="CF28" i="113"/>
  <c r="CF29" i="113" s="1"/>
  <c r="CF30" i="113" s="1"/>
  <c r="CE15" i="113"/>
  <c r="BZ15" i="113"/>
  <c r="BX28" i="113"/>
  <c r="BX29" i="113" s="1"/>
  <c r="BX30" i="113" s="1"/>
  <c r="BW15" i="113"/>
  <c r="BP28" i="113"/>
  <c r="BP29" i="113" s="1"/>
  <c r="BP30" i="113" s="1"/>
  <c r="BO15" i="113"/>
  <c r="BJ15" i="113"/>
  <c r="BH28" i="113"/>
  <c r="BH29" i="113" s="1"/>
  <c r="BH30" i="113" s="1"/>
  <c r="BG15" i="113"/>
  <c r="BB15" i="113"/>
  <c r="AZ28" i="113"/>
  <c r="AZ29" i="113" s="1"/>
  <c r="AZ30" i="113" s="1"/>
  <c r="AY15" i="113"/>
  <c r="AT15" i="113"/>
  <c r="AR28" i="113"/>
  <c r="AR29" i="113" s="1"/>
  <c r="AR30" i="113" s="1"/>
  <c r="AQ15" i="113"/>
  <c r="AN15" i="113"/>
  <c r="AJ28" i="113"/>
  <c r="AJ29" i="113" s="1"/>
  <c r="AJ30" i="113" s="1"/>
  <c r="AI15" i="113"/>
  <c r="AD15" i="113"/>
  <c r="AB28" i="113"/>
  <c r="AB29" i="113" s="1"/>
  <c r="AB30" i="113" s="1"/>
  <c r="AA15" i="113"/>
  <c r="V15" i="113"/>
  <c r="T28" i="113"/>
  <c r="T29" i="113" s="1"/>
  <c r="T30" i="113" s="1"/>
  <c r="S15" i="113"/>
  <c r="L28" i="113"/>
  <c r="L29" i="113" s="1"/>
  <c r="L30" i="113" s="1"/>
  <c r="K15" i="113"/>
  <c r="C15" i="113"/>
  <c r="D28" i="113" l="1"/>
  <c r="D29" i="113" s="1"/>
  <c r="D30" i="113" s="1"/>
  <c r="D16" i="113"/>
  <c r="CF15" i="113"/>
  <c r="AB15" i="113"/>
  <c r="CV3" i="113"/>
  <c r="CU22" i="113"/>
  <c r="CU21" i="113"/>
  <c r="CV9" i="113"/>
  <c r="AZ15" i="113"/>
  <c r="E28" i="113"/>
  <c r="E29" i="113" s="1"/>
  <c r="E30" i="113" s="1"/>
  <c r="E15" i="113"/>
  <c r="M28" i="113"/>
  <c r="M29" i="113" s="1"/>
  <c r="M30" i="113" s="1"/>
  <c r="M15" i="113"/>
  <c r="U28" i="113"/>
  <c r="U29" i="113" s="1"/>
  <c r="U30" i="113" s="1"/>
  <c r="U15" i="113"/>
  <c r="AC28" i="113"/>
  <c r="AC29" i="113" s="1"/>
  <c r="AC30" i="113" s="1"/>
  <c r="AC15" i="113"/>
  <c r="AK28" i="113"/>
  <c r="AK29" i="113" s="1"/>
  <c r="AK30" i="113" s="1"/>
  <c r="AK15" i="113"/>
  <c r="AS28" i="113"/>
  <c r="AS29" i="113" s="1"/>
  <c r="AS30" i="113" s="1"/>
  <c r="AS15" i="113"/>
  <c r="BA28" i="113"/>
  <c r="BA29" i="113" s="1"/>
  <c r="BA30" i="113" s="1"/>
  <c r="BA15" i="113"/>
  <c r="BI28" i="113"/>
  <c r="BI29" i="113" s="1"/>
  <c r="BI30" i="113" s="1"/>
  <c r="BI15" i="113"/>
  <c r="BQ28" i="113"/>
  <c r="BQ29" i="113" s="1"/>
  <c r="BQ30" i="113" s="1"/>
  <c r="BQ15" i="113"/>
  <c r="BY28" i="113"/>
  <c r="BY29" i="113" s="1"/>
  <c r="BY30" i="113" s="1"/>
  <c r="BY15" i="113"/>
  <c r="CG28" i="113"/>
  <c r="CG29" i="113" s="1"/>
  <c r="CG30" i="113" s="1"/>
  <c r="CG15" i="113"/>
  <c r="CO28" i="113"/>
  <c r="CO29" i="113" s="1"/>
  <c r="CO30" i="113" s="1"/>
  <c r="CO15" i="113"/>
  <c r="CV4" i="113"/>
  <c r="CU4" i="113"/>
  <c r="B23" i="113"/>
  <c r="CU23" i="113" s="1"/>
  <c r="CV10" i="113"/>
  <c r="CU10" i="113"/>
  <c r="L15" i="113"/>
  <c r="BX15" i="113"/>
  <c r="B16" i="113"/>
  <c r="CU16" i="113" s="1"/>
  <c r="V28" i="113"/>
  <c r="V29" i="113" s="1"/>
  <c r="V30" i="113" s="1"/>
  <c r="AJ15" i="113"/>
  <c r="G28" i="113"/>
  <c r="G29" i="113" s="1"/>
  <c r="G30" i="113" s="1"/>
  <c r="G15" i="113"/>
  <c r="O28" i="113"/>
  <c r="O29" i="113" s="1"/>
  <c r="O30" i="113" s="1"/>
  <c r="O15" i="113"/>
  <c r="W28" i="113"/>
  <c r="W29" i="113" s="1"/>
  <c r="W30" i="113" s="1"/>
  <c r="W15" i="113"/>
  <c r="AE28" i="113"/>
  <c r="AE29" i="113" s="1"/>
  <c r="AE30" i="113" s="1"/>
  <c r="AE15" i="113"/>
  <c r="AM28" i="113"/>
  <c r="AM29" i="113" s="1"/>
  <c r="AM30" i="113" s="1"/>
  <c r="AM15" i="113"/>
  <c r="AU28" i="113"/>
  <c r="AU29" i="113" s="1"/>
  <c r="AU30" i="113" s="1"/>
  <c r="AU15" i="113"/>
  <c r="BC28" i="113"/>
  <c r="BC29" i="113" s="1"/>
  <c r="BC30" i="113" s="1"/>
  <c r="BC15" i="113"/>
  <c r="BK28" i="113"/>
  <c r="BK29" i="113" s="1"/>
  <c r="BK30" i="113" s="1"/>
  <c r="BK15" i="113"/>
  <c r="BS28" i="113"/>
  <c r="BS29" i="113" s="1"/>
  <c r="BS30" i="113" s="1"/>
  <c r="BS15" i="113"/>
  <c r="CA28" i="113"/>
  <c r="CA29" i="113" s="1"/>
  <c r="CA30" i="113" s="1"/>
  <c r="CA15" i="113"/>
  <c r="CI28" i="113"/>
  <c r="CI29" i="113" s="1"/>
  <c r="CI30" i="113" s="1"/>
  <c r="CI15" i="113"/>
  <c r="CQ28" i="113"/>
  <c r="CQ29" i="113" s="1"/>
  <c r="CQ30" i="113" s="1"/>
  <c r="CQ15" i="113"/>
  <c r="CU18" i="113"/>
  <c r="B25" i="113"/>
  <c r="CU25" i="113" s="1"/>
  <c r="CV12" i="113"/>
  <c r="CU12" i="113"/>
  <c r="BH15" i="113"/>
  <c r="AN28" i="113"/>
  <c r="AN29" i="113" s="1"/>
  <c r="AN30" i="113" s="1"/>
  <c r="CU17" i="113"/>
  <c r="H28" i="113"/>
  <c r="H29" i="113" s="1"/>
  <c r="H30" i="113" s="1"/>
  <c r="H15" i="113"/>
  <c r="P28" i="113"/>
  <c r="P29" i="113" s="1"/>
  <c r="P30" i="113" s="1"/>
  <c r="P15" i="113"/>
  <c r="X28" i="113"/>
  <c r="X29" i="113" s="1"/>
  <c r="X30" i="113" s="1"/>
  <c r="X15" i="113"/>
  <c r="AF28" i="113"/>
  <c r="AF29" i="113" s="1"/>
  <c r="AF30" i="113" s="1"/>
  <c r="AF15" i="113"/>
  <c r="AV28" i="113"/>
  <c r="AV29" i="113" s="1"/>
  <c r="AV30" i="113" s="1"/>
  <c r="AV15" i="113"/>
  <c r="BD28" i="113"/>
  <c r="BD29" i="113" s="1"/>
  <c r="BD30" i="113" s="1"/>
  <c r="BD15" i="113"/>
  <c r="BL28" i="113"/>
  <c r="BL29" i="113" s="1"/>
  <c r="BL30" i="113" s="1"/>
  <c r="BL15" i="113"/>
  <c r="BT15" i="113"/>
  <c r="BT28" i="113"/>
  <c r="BT29" i="113" s="1"/>
  <c r="BT30" i="113" s="1"/>
  <c r="CB28" i="113"/>
  <c r="CB29" i="113" s="1"/>
  <c r="CB30" i="113" s="1"/>
  <c r="CB15" i="113"/>
  <c r="CJ28" i="113"/>
  <c r="CJ29" i="113" s="1"/>
  <c r="CJ30" i="113" s="1"/>
  <c r="CJ15" i="113"/>
  <c r="CR28" i="113"/>
  <c r="CR29" i="113" s="1"/>
  <c r="CR30" i="113" s="1"/>
  <c r="CR15" i="113"/>
  <c r="CV6" i="113"/>
  <c r="T15" i="113"/>
  <c r="AW28" i="113"/>
  <c r="AW29" i="113" s="1"/>
  <c r="AW30" i="113" s="1"/>
  <c r="F28" i="113"/>
  <c r="F29" i="113" s="1"/>
  <c r="F30" i="113" s="1"/>
  <c r="I28" i="113"/>
  <c r="I29" i="113" s="1"/>
  <c r="I30" i="113" s="1"/>
  <c r="I15" i="113"/>
  <c r="Q28" i="113"/>
  <c r="Q29" i="113" s="1"/>
  <c r="Q30" i="113" s="1"/>
  <c r="Q15" i="113"/>
  <c r="AR15" i="113"/>
  <c r="CU3" i="113"/>
  <c r="CW3" i="113" s="1"/>
  <c r="CU9" i="113"/>
  <c r="N28" i="113"/>
  <c r="N29" i="113" s="1"/>
  <c r="N30" i="113" s="1"/>
  <c r="N15" i="113"/>
  <c r="B28" i="113"/>
  <c r="B15" i="113"/>
  <c r="CV2" i="113"/>
  <c r="J28" i="113"/>
  <c r="J29" i="113" s="1"/>
  <c r="J30" i="113" s="1"/>
  <c r="J15" i="113"/>
  <c r="R28" i="113"/>
  <c r="R29" i="113" s="1"/>
  <c r="R30" i="113" s="1"/>
  <c r="R15" i="113"/>
  <c r="Z28" i="113"/>
  <c r="Z29" i="113" s="1"/>
  <c r="Z30" i="113" s="1"/>
  <c r="Z15" i="113"/>
  <c r="AH28" i="113"/>
  <c r="AH29" i="113" s="1"/>
  <c r="AH30" i="113" s="1"/>
  <c r="AH15" i="113"/>
  <c r="AP28" i="113"/>
  <c r="AP29" i="113" s="1"/>
  <c r="AP30" i="113" s="1"/>
  <c r="AP15" i="113"/>
  <c r="AX28" i="113"/>
  <c r="AX29" i="113" s="1"/>
  <c r="AX30" i="113" s="1"/>
  <c r="AX15" i="113"/>
  <c r="BF28" i="113"/>
  <c r="BF29" i="113" s="1"/>
  <c r="BF30" i="113" s="1"/>
  <c r="BF15" i="113"/>
  <c r="BN28" i="113"/>
  <c r="BN29" i="113" s="1"/>
  <c r="BN30" i="113" s="1"/>
  <c r="BN15" i="113"/>
  <c r="BV28" i="113"/>
  <c r="BV29" i="113" s="1"/>
  <c r="BV30" i="113" s="1"/>
  <c r="BV15" i="113"/>
  <c r="CD28" i="113"/>
  <c r="CD29" i="113" s="1"/>
  <c r="CD30" i="113" s="1"/>
  <c r="CD15" i="113"/>
  <c r="CL28" i="113"/>
  <c r="CL29" i="113" s="1"/>
  <c r="CL30" i="113" s="1"/>
  <c r="CL15" i="113"/>
  <c r="CU2" i="113"/>
  <c r="CU20" i="113"/>
  <c r="CV7" i="113"/>
  <c r="D15" i="113"/>
  <c r="BP15" i="113"/>
  <c r="Y28" i="113"/>
  <c r="Y29" i="113" s="1"/>
  <c r="Y30" i="113" s="1"/>
  <c r="AG28" i="113"/>
  <c r="AG29" i="113" s="1"/>
  <c r="AG30" i="113" s="1"/>
  <c r="AO28" i="113"/>
  <c r="AO29" i="113" s="1"/>
  <c r="AO30" i="113" s="1"/>
  <c r="BE28" i="113"/>
  <c r="BE29" i="113" s="1"/>
  <c r="BE30" i="113" s="1"/>
  <c r="BM28" i="113"/>
  <c r="BM29" i="113" s="1"/>
  <c r="BM30" i="113" s="1"/>
  <c r="BU28" i="113"/>
  <c r="BU29" i="113" s="1"/>
  <c r="BU30" i="113" s="1"/>
  <c r="CK28" i="113"/>
  <c r="CK29" i="113" s="1"/>
  <c r="CK30" i="113" s="1"/>
  <c r="CS28" i="113"/>
  <c r="CS29" i="113" s="1"/>
  <c r="CS30" i="113" s="1"/>
  <c r="CU7" i="113"/>
  <c r="CC28" i="113"/>
  <c r="CC29" i="113" s="1"/>
  <c r="CC30" i="113" s="1"/>
  <c r="C28" i="113"/>
  <c r="C29" i="113" s="1"/>
  <c r="C30" i="113" s="1"/>
  <c r="K28" i="113"/>
  <c r="K29" i="113" s="1"/>
  <c r="K30" i="113" s="1"/>
  <c r="S28" i="113"/>
  <c r="S29" i="113" s="1"/>
  <c r="S30" i="113" s="1"/>
  <c r="AA28" i="113"/>
  <c r="AA29" i="113" s="1"/>
  <c r="AA30" i="113" s="1"/>
  <c r="AI28" i="113"/>
  <c r="AI29" i="113" s="1"/>
  <c r="AI30" i="113" s="1"/>
  <c r="AQ28" i="113"/>
  <c r="AQ29" i="113" s="1"/>
  <c r="AQ30" i="113" s="1"/>
  <c r="AY28" i="113"/>
  <c r="AY29" i="113" s="1"/>
  <c r="AY30" i="113" s="1"/>
  <c r="BG28" i="113"/>
  <c r="BG29" i="113" s="1"/>
  <c r="BG30" i="113" s="1"/>
  <c r="BO28" i="113"/>
  <c r="BO29" i="113" s="1"/>
  <c r="BO30" i="113" s="1"/>
  <c r="BW28" i="113"/>
  <c r="BW29" i="113" s="1"/>
  <c r="BW30" i="113" s="1"/>
  <c r="CE28" i="113"/>
  <c r="CE29" i="113" s="1"/>
  <c r="CE30" i="113" s="1"/>
  <c r="CM28" i="113"/>
  <c r="CM29" i="113" s="1"/>
  <c r="CM30" i="113" s="1"/>
  <c r="CU5" i="113"/>
  <c r="CU26" i="113"/>
  <c r="CU13" i="113"/>
  <c r="CN28" i="113"/>
  <c r="CN29" i="113" s="1"/>
  <c r="CN30" i="113" s="1"/>
  <c r="CV5" i="113"/>
  <c r="CU8" i="113"/>
  <c r="CV13" i="113"/>
  <c r="CV8" i="113"/>
  <c r="CU24" i="113"/>
  <c r="CU11" i="113"/>
  <c r="Y15" i="113"/>
  <c r="AG15" i="113"/>
  <c r="AO15" i="113"/>
  <c r="BE15" i="113"/>
  <c r="BM15" i="113"/>
  <c r="BU15" i="113"/>
  <c r="CK15" i="113"/>
  <c r="CS15" i="113"/>
  <c r="AD28" i="113"/>
  <c r="AD29" i="113" s="1"/>
  <c r="AD30" i="113" s="1"/>
  <c r="AL28" i="113"/>
  <c r="AL29" i="113" s="1"/>
  <c r="AL30" i="113" s="1"/>
  <c r="AT28" i="113"/>
  <c r="AT29" i="113" s="1"/>
  <c r="AT30" i="113" s="1"/>
  <c r="BB28" i="113"/>
  <c r="BB29" i="113" s="1"/>
  <c r="BB30" i="113" s="1"/>
  <c r="BJ28" i="113"/>
  <c r="BJ29" i="113" s="1"/>
  <c r="BJ30" i="113" s="1"/>
  <c r="BR28" i="113"/>
  <c r="BR29" i="113" s="1"/>
  <c r="BR30" i="113" s="1"/>
  <c r="BZ28" i="113"/>
  <c r="BZ29" i="113" s="1"/>
  <c r="BZ30" i="113" s="1"/>
  <c r="CH28" i="113"/>
  <c r="CH29" i="113" s="1"/>
  <c r="CH30" i="113" s="1"/>
  <c r="CP28" i="113"/>
  <c r="CP29" i="113" s="1"/>
  <c r="CP30" i="113" s="1"/>
  <c r="CU19" i="113"/>
  <c r="CU6" i="113"/>
  <c r="CV11" i="113"/>
  <c r="CW8" i="113" l="1"/>
  <c r="CW2" i="113"/>
  <c r="CW12" i="113"/>
  <c r="CW10" i="113"/>
  <c r="CW4" i="113"/>
  <c r="CW7" i="113"/>
  <c r="CW6" i="113"/>
  <c r="CW13" i="113"/>
  <c r="CW9" i="113"/>
  <c r="CW11" i="113"/>
  <c r="CU15" i="113"/>
  <c r="CW5" i="113"/>
  <c r="B29" i="113"/>
  <c r="CV28" i="113"/>
  <c r="CU28" i="113"/>
  <c r="CW28" i="113" l="1"/>
  <c r="B30" i="113"/>
  <c r="CU29" i="113"/>
  <c r="CU30" i="113" s="1"/>
</calcChain>
</file>

<file path=xl/sharedStrings.xml><?xml version="1.0" encoding="utf-8"?>
<sst xmlns="http://schemas.openxmlformats.org/spreadsheetml/2006/main" count="5278" uniqueCount="329">
  <si>
    <t>EMPLOYEE ATTENDANCE</t>
  </si>
  <si>
    <t>TRACKING REPORT</t>
  </si>
  <si>
    <t>Employee Name:</t>
  </si>
  <si>
    <t>Hire Date:</t>
  </si>
  <si>
    <t>Record of Attendance Warnings/Counseling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</si>
  <si>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</si>
  <si>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</si>
  <si>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</si>
  <si>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</si>
  <si>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</si>
  <si>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</si>
  <si>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</si>
  <si>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</si>
  <si>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</si>
  <si>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</si>
  <si>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</si>
  <si>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</si>
  <si>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Date </t>
  </si>
  <si>
    <t>Verbal</t>
  </si>
  <si>
    <t>Written</t>
  </si>
  <si>
    <t>Comments</t>
  </si>
  <si>
    <t>S = Sick</t>
  </si>
  <si>
    <t>B = Bereavement</t>
  </si>
  <si>
    <t>U = Unpaid Absence</t>
  </si>
  <si>
    <t>V = Vacation</t>
  </si>
  <si>
    <t>J = Jury Duty</t>
  </si>
  <si>
    <t>VF = Vacation - FMLA</t>
  </si>
  <si>
    <t>H = Holiday</t>
  </si>
  <si>
    <t>T = Tardy</t>
  </si>
  <si>
    <t>UF = Unpaid - FMLA</t>
  </si>
  <si>
    <t>UA = Unexcused Absence</t>
  </si>
  <si>
    <t>O = Other (Explain Below)</t>
  </si>
  <si>
    <t>EA = Excused Absence</t>
  </si>
  <si>
    <t xml:space="preserve"> </t>
  </si>
  <si>
    <t>Marlene Akulic</t>
  </si>
  <si>
    <t>Reva Atkins</t>
  </si>
  <si>
    <t xml:space="preserve">Eric Barnes </t>
  </si>
  <si>
    <t xml:space="preserve">Sarah Barnes </t>
  </si>
  <si>
    <t xml:space="preserve">Bethany Bivens </t>
  </si>
  <si>
    <t xml:space="preserve">Diane Bivens </t>
  </si>
  <si>
    <t xml:space="preserve">Tammie Bivens </t>
  </si>
  <si>
    <t xml:space="preserve">Amy Bledsoe </t>
  </si>
  <si>
    <t xml:space="preserve">Nancy Bookout </t>
  </si>
  <si>
    <t>Nanette Bourzac</t>
  </si>
  <si>
    <t>Tammy Brooks</t>
  </si>
  <si>
    <t>Sebrina Brummett</t>
  </si>
  <si>
    <t xml:space="preserve">Sheena Bryan </t>
  </si>
  <si>
    <t xml:space="preserve">Mary Burger </t>
  </si>
  <si>
    <t xml:space="preserve">Jennifer Cannon </t>
  </si>
  <si>
    <t xml:space="preserve">Robin Carroll </t>
  </si>
  <si>
    <t xml:space="preserve">Bess Cathcart </t>
  </si>
  <si>
    <t xml:space="preserve">Stacy Childress </t>
  </si>
  <si>
    <t xml:space="preserve">Elizabeth Clark </t>
  </si>
  <si>
    <t xml:space="preserve">Lisa Coburn </t>
  </si>
  <si>
    <t xml:space="preserve">Tammy Cooley </t>
  </si>
  <si>
    <t xml:space="preserve">Alice Cooper </t>
  </si>
  <si>
    <t xml:space="preserve">Kimberly Davis </t>
  </si>
  <si>
    <t xml:space="preserve">Wanda Dotson </t>
  </si>
  <si>
    <t xml:space="preserve">Krystopher Douglas </t>
  </si>
  <si>
    <t xml:space="preserve">Lois Dunn </t>
  </si>
  <si>
    <t>Jamie Fabrizio</t>
  </si>
  <si>
    <t xml:space="preserve">Kelly Ghormley </t>
  </si>
  <si>
    <t xml:space="preserve">Benjamin Gibby </t>
  </si>
  <si>
    <t xml:space="preserve">Deborah Gibby </t>
  </si>
  <si>
    <t xml:space="preserve">Robert Givens </t>
  </si>
  <si>
    <t xml:space="preserve">Tonya Godwin </t>
  </si>
  <si>
    <t xml:space="preserve">Fredrick Hall </t>
  </si>
  <si>
    <t xml:space="preserve">MARY Hall </t>
  </si>
  <si>
    <t xml:space="preserve">Angela Hampton </t>
  </si>
  <si>
    <t xml:space="preserve">Nancy Harris </t>
  </si>
  <si>
    <t xml:space="preserve">Lena Headrick </t>
  </si>
  <si>
    <t xml:space="preserve">Lisa Helton </t>
  </si>
  <si>
    <t xml:space="preserve">Lisa Hicks </t>
  </si>
  <si>
    <t xml:space="preserve">Amy Howarth </t>
  </si>
  <si>
    <t xml:space="preserve">Nancy Hunt </t>
  </si>
  <si>
    <t xml:space="preserve">Deborah Jones </t>
  </si>
  <si>
    <t xml:space="preserve">Jena Jones </t>
  </si>
  <si>
    <t xml:space="preserve">Delmis Kelly </t>
  </si>
  <si>
    <t xml:space="preserve">Justin Kelly </t>
  </si>
  <si>
    <t xml:space="preserve">Debbie Kliever </t>
  </si>
  <si>
    <t xml:space="preserve">Ginger Lee </t>
  </si>
  <si>
    <t xml:space="preserve">Viola Lorenz </t>
  </si>
  <si>
    <t xml:space="preserve">Dusty Martin </t>
  </si>
  <si>
    <t xml:space="preserve">Cynthia May </t>
  </si>
  <si>
    <t xml:space="preserve">Loreta McCluskey </t>
  </si>
  <si>
    <t xml:space="preserve">Kaylee McDaniel </t>
  </si>
  <si>
    <t xml:space="preserve">Nathan McKee </t>
  </si>
  <si>
    <t xml:space="preserve">Gary Miller </t>
  </si>
  <si>
    <t xml:space="preserve">Darlene Moore </t>
  </si>
  <si>
    <t xml:space="preserve">Jessie Morris </t>
  </si>
  <si>
    <t xml:space="preserve">Brenda Nichols </t>
  </si>
  <si>
    <t xml:space="preserve">Jerry Parker </t>
  </si>
  <si>
    <t xml:space="preserve">Pamela Patterson </t>
  </si>
  <si>
    <t xml:space="preserve">Carolyn Peels </t>
  </si>
  <si>
    <t xml:space="preserve">Timothy Peels </t>
  </si>
  <si>
    <t xml:space="preserve">Jessica Poff </t>
  </si>
  <si>
    <t>Alan Rankin</t>
  </si>
  <si>
    <t xml:space="preserve">Sandra Reagan </t>
  </si>
  <si>
    <t xml:space="preserve">Melissa Redman </t>
  </si>
  <si>
    <t>Joey Richesin</t>
  </si>
  <si>
    <t xml:space="preserve">Beverly Roberts </t>
  </si>
  <si>
    <t xml:space="preserve">Lisa Roberts </t>
  </si>
  <si>
    <t>Alexis Rupinski</t>
  </si>
  <si>
    <t>Angela Rupinski</t>
  </si>
  <si>
    <t xml:space="preserve">Carla Schomaker </t>
  </si>
  <si>
    <t xml:space="preserve">Caleb Schutt </t>
  </si>
  <si>
    <t xml:space="preserve">Chasity Selby </t>
  </si>
  <si>
    <t xml:space="preserve">Janet Self </t>
  </si>
  <si>
    <t xml:space="preserve"> Sonia Sharp </t>
  </si>
  <si>
    <t xml:space="preserve">Teia Shaw </t>
  </si>
  <si>
    <t xml:space="preserve">Christina Sheperd </t>
  </si>
  <si>
    <t xml:space="preserve">Justin Smith </t>
  </si>
  <si>
    <t xml:space="preserve">Shannon Smith </t>
  </si>
  <si>
    <t xml:space="preserve">Tabitha Stafford </t>
  </si>
  <si>
    <t xml:space="preserve">Emily Thomas </t>
  </si>
  <si>
    <t xml:space="preserve">Michelle Thomas </t>
  </si>
  <si>
    <t xml:space="preserve">Rebecca Tipton </t>
  </si>
  <si>
    <t xml:space="preserve">Jordan Veit </t>
  </si>
  <si>
    <t xml:space="preserve">Dennis Watson </t>
  </si>
  <si>
    <t xml:space="preserve">James Wells </t>
  </si>
  <si>
    <t xml:space="preserve"> Sandra West </t>
  </si>
  <si>
    <t xml:space="preserve"> 04/25/2016</t>
  </si>
  <si>
    <t xml:space="preserve"> Karen Young </t>
  </si>
  <si>
    <t xml:space="preserve">Ashley Barnes </t>
  </si>
  <si>
    <t xml:space="preserve"> Candice Frost </t>
  </si>
  <si>
    <t>Call in vacation</t>
  </si>
  <si>
    <t>V</t>
  </si>
  <si>
    <t>Scheduled vacation</t>
  </si>
  <si>
    <t>UA</t>
  </si>
  <si>
    <t>Unexcused absence</t>
  </si>
  <si>
    <t>T</t>
  </si>
  <si>
    <t>1/2 point or less</t>
  </si>
  <si>
    <t>More than 1/2 point</t>
  </si>
  <si>
    <t>B</t>
  </si>
  <si>
    <t>FMLA</t>
  </si>
  <si>
    <t>LE - 1/2</t>
  </si>
  <si>
    <t>LE - 1</t>
  </si>
  <si>
    <t>EA</t>
  </si>
  <si>
    <t>Doctor's note</t>
  </si>
  <si>
    <t>T - 1/2</t>
  </si>
  <si>
    <t>ADA</t>
  </si>
  <si>
    <t>No call no show all week. Terminated 1/4</t>
  </si>
  <si>
    <t>Doctor's excuse</t>
  </si>
  <si>
    <t>Doctor released for 5 hours a day</t>
  </si>
  <si>
    <t>T - 0</t>
  </si>
  <si>
    <t>Unexcused vacation</t>
  </si>
  <si>
    <t>Borrowed 10 VAC hours from accrural starting on 2/2</t>
  </si>
  <si>
    <t>FMLA - 7</t>
  </si>
  <si>
    <t xml:space="preserve">Katie James </t>
  </si>
  <si>
    <t>Doctor's  note</t>
  </si>
  <si>
    <t>Quarantine</t>
  </si>
  <si>
    <t>Doctor's note, Additional Dr note on 1/11</t>
  </si>
  <si>
    <t>Doctor's note for daughter</t>
  </si>
  <si>
    <t xml:space="preserve">Cheryl Reagan </t>
  </si>
  <si>
    <t>T - 1/4</t>
  </si>
  <si>
    <t>Borrowed 10 VAC hours from accrural starting on 2/3</t>
  </si>
  <si>
    <t>LE - 0</t>
  </si>
  <si>
    <t>Quarantine (family)</t>
  </si>
  <si>
    <t>T - 1</t>
  </si>
  <si>
    <t>DR</t>
  </si>
  <si>
    <t>No call no show</t>
  </si>
  <si>
    <t xml:space="preserve">Doctor's note  </t>
  </si>
  <si>
    <t>Emily Newman</t>
  </si>
  <si>
    <t>Written warning for attendance</t>
  </si>
  <si>
    <t>Written warning issued for points</t>
  </si>
  <si>
    <t>X</t>
  </si>
  <si>
    <t>V - 6</t>
  </si>
  <si>
    <t>No call No show</t>
  </si>
  <si>
    <t>V - 1</t>
  </si>
  <si>
    <t>FMLA - 4.5</t>
  </si>
  <si>
    <t>William Johnson</t>
  </si>
  <si>
    <t>Left without notifying anyone</t>
  </si>
  <si>
    <t>Terminated for Job Abandoment</t>
  </si>
  <si>
    <t>V - 2</t>
  </si>
  <si>
    <t>V - 7</t>
  </si>
  <si>
    <t>Darius Goley</t>
  </si>
  <si>
    <t>LE - 1/3</t>
  </si>
  <si>
    <t xml:space="preserve"> Tanner Frerichs</t>
  </si>
  <si>
    <t>Written warning issued</t>
  </si>
  <si>
    <t>V - 4</t>
  </si>
  <si>
    <t xml:space="preserve">V </t>
  </si>
  <si>
    <t xml:space="preserve">Janie Borden </t>
  </si>
  <si>
    <t>Name</t>
  </si>
  <si>
    <t>Atkins, Reva</t>
  </si>
  <si>
    <t>Barnes, Ashley</t>
  </si>
  <si>
    <t>Bivens, Bethany</t>
  </si>
  <si>
    <t>Bivens, Diane</t>
  </si>
  <si>
    <t>Bivens, Tammie</t>
  </si>
  <si>
    <t>Brummett, Sebrina</t>
  </si>
  <si>
    <t>Bryan, Sheena</t>
  </si>
  <si>
    <t>Burger, Mary</t>
  </si>
  <si>
    <t>Cannon, Jennifer</t>
  </si>
  <si>
    <t>Cooper, Alice</t>
  </si>
  <si>
    <t>Douglas, Krystopher</t>
  </si>
  <si>
    <t>Helton, Lisa</t>
  </si>
  <si>
    <t>Hicks, Shelby</t>
  </si>
  <si>
    <t>Jones, Deborah</t>
  </si>
  <si>
    <t>McDaniel, Kaylee</t>
  </si>
  <si>
    <t>McKee, Nathan</t>
  </si>
  <si>
    <t>Morris, Jessie</t>
  </si>
  <si>
    <t>Parker, Jerry</t>
  </si>
  <si>
    <t>Reagan, Sandra</t>
  </si>
  <si>
    <t>Redman, Melissa</t>
  </si>
  <si>
    <t>Roberts, Beverly</t>
  </si>
  <si>
    <t>Rupinski, Alexis</t>
  </si>
  <si>
    <t>Shepherd, Christina</t>
  </si>
  <si>
    <t>Smith, Shannon</t>
  </si>
  <si>
    <t>Stevens, Lorie</t>
  </si>
  <si>
    <t>Tipton, Rebecca</t>
  </si>
  <si>
    <t>Avg</t>
  </si>
  <si>
    <t>Std Dev</t>
  </si>
  <si>
    <t>Coef. Var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</si>
  <si>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</si>
  <si>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</si>
  <si>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</si>
  <si>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</si>
  <si>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</si>
  <si>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</si>
  <si>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</si>
  <si>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</si>
  <si>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</si>
  <si>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</si>
  <si>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</si>
  <si>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</si>
  <si>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Days Absent</t>
  </si>
  <si>
    <t>% Absenteeism</t>
  </si>
  <si>
    <t>% Presence</t>
  </si>
  <si>
    <t>Data_Compiled</t>
  </si>
  <si>
    <t>Master 2023</t>
  </si>
  <si>
    <t xml:space="preserve">Nanette Bourzac </t>
  </si>
  <si>
    <t>Sheena Bryan</t>
  </si>
  <si>
    <t xml:space="preserve">Jenniefr Cannon </t>
  </si>
  <si>
    <t>Lois Dunn</t>
  </si>
  <si>
    <t>Tanner Frerichs</t>
  </si>
  <si>
    <t xml:space="preserve">Candice Frost </t>
  </si>
  <si>
    <t>Tonya Godwin</t>
  </si>
  <si>
    <t xml:space="preserve">Mary Hall </t>
  </si>
  <si>
    <t>Nancy Harris</t>
  </si>
  <si>
    <t>Loreta McCluskey</t>
  </si>
  <si>
    <t xml:space="preserve">Emily Newman </t>
  </si>
  <si>
    <t xml:space="preserve">Alan Rankin </t>
  </si>
  <si>
    <t xml:space="preserve">Sonis Sharp </t>
  </si>
  <si>
    <t xml:space="preserve">Christina Shepherd </t>
  </si>
  <si>
    <t xml:space="preserve">Sandra West </t>
  </si>
  <si>
    <t xml:space="preserve">Karen Young </t>
  </si>
  <si>
    <t>Akulic, Marlene</t>
  </si>
  <si>
    <t>Barnes, Eric</t>
  </si>
  <si>
    <t>Barnes, Sarah</t>
  </si>
  <si>
    <t>Bledsoe, Amy</t>
  </si>
  <si>
    <t>Bookout, Nancy</t>
  </si>
  <si>
    <t>Borden, Janie</t>
  </si>
  <si>
    <t>Bourzac, Nanette</t>
  </si>
  <si>
    <t>Brooks, Tammy</t>
  </si>
  <si>
    <t>Cannon, Jenniefr</t>
  </si>
  <si>
    <t>Carroll, Robin</t>
  </si>
  <si>
    <t>Cathcart, Bess</t>
  </si>
  <si>
    <t>Childress, Stacy</t>
  </si>
  <si>
    <t>Clark, Elizabeth</t>
  </si>
  <si>
    <t>Coburn, Lisa</t>
  </si>
  <si>
    <t>Cooley, Tammy</t>
  </si>
  <si>
    <t>Davis, Kimberly</t>
  </si>
  <si>
    <t>Dotson, Wanda</t>
  </si>
  <si>
    <t>Dunn, Lois</t>
  </si>
  <si>
    <t>Fabrizio, Jamie</t>
  </si>
  <si>
    <t>Frerichs, Tanner</t>
  </si>
  <si>
    <t>Frost, Candice</t>
  </si>
  <si>
    <t>Ghormley, Kelly</t>
  </si>
  <si>
    <t>Gibby, Benjamin</t>
  </si>
  <si>
    <t>Gibby, Deborah</t>
  </si>
  <si>
    <t>Givens, Robert</t>
  </si>
  <si>
    <t>Godwin, Tonya</t>
  </si>
  <si>
    <t>Goley, Darius</t>
  </si>
  <si>
    <t>Hall, Fredrick</t>
  </si>
  <si>
    <t>Hall, Mary</t>
  </si>
  <si>
    <t>Hampton, Angela</t>
  </si>
  <si>
    <t>Harris, Nancy</t>
  </si>
  <si>
    <t>Headrick, Lena</t>
  </si>
  <si>
    <t>Hicks, Lisa</t>
  </si>
  <si>
    <t>Howarth, Amy</t>
  </si>
  <si>
    <t>Hunt, Nancy</t>
  </si>
  <si>
    <t>James, Katie</t>
  </si>
  <si>
    <t>Johnson, William</t>
  </si>
  <si>
    <t>Jones, Jena</t>
  </si>
  <si>
    <t>Kelly, Delmis</t>
  </si>
  <si>
    <t>Kelly, Justin</t>
  </si>
  <si>
    <t>Kliever, Debbie</t>
  </si>
  <si>
    <t>Lee, Ginger</t>
  </si>
  <si>
    <t>Lorenz, Viola</t>
  </si>
  <si>
    <t>Martin, Dusty</t>
  </si>
  <si>
    <t>May, Cynthia</t>
  </si>
  <si>
    <t>McCluskey, Loreta</t>
  </si>
  <si>
    <t>Miller, Gary</t>
  </si>
  <si>
    <t>Moore, Darlene</t>
  </si>
  <si>
    <t>Newman, Emily</t>
  </si>
  <si>
    <t>Nichols, Brenda</t>
  </si>
  <si>
    <t>Patterson, Pamela</t>
  </si>
  <si>
    <t>Peels, Carolyn</t>
  </si>
  <si>
    <t>Peels, Timothy</t>
  </si>
  <si>
    <t>Poff, Jessica</t>
  </si>
  <si>
    <t>Rankin, Alan</t>
  </si>
  <si>
    <t>Reagan, Cheryl</t>
  </si>
  <si>
    <t>Richesin, Joey</t>
  </si>
  <si>
    <t>Roberts, Lisa</t>
  </si>
  <si>
    <t>Rupinski, Angela</t>
  </si>
  <si>
    <t>Schomaker, Carla</t>
  </si>
  <si>
    <t>Schutt, Caleb</t>
  </si>
  <si>
    <t>Selby, Chasity</t>
  </si>
  <si>
    <t>Self, Janet</t>
  </si>
  <si>
    <t>Sharp, Sonis</t>
  </si>
  <si>
    <t>Shaw, Teia</t>
  </si>
  <si>
    <t>Smith, Justin</t>
  </si>
  <si>
    <t>Stafford, Tabitha</t>
  </si>
  <si>
    <t>Thomas, Emily</t>
  </si>
  <si>
    <t>Thomas, Michelle</t>
  </si>
  <si>
    <t>Veit, Jordan</t>
  </si>
  <si>
    <t>Watson, Dennis</t>
  </si>
  <si>
    <t>Wells, James</t>
  </si>
  <si>
    <t>West, Sandra</t>
  </si>
  <si>
    <t>Young, Karen</t>
  </si>
  <si>
    <t>Armstrong, Mary</t>
  </si>
  <si>
    <t>Bourzac, NanetteLo</t>
  </si>
  <si>
    <t>Davis, Tyler</t>
  </si>
  <si>
    <t>Harrison, Chuck</t>
  </si>
  <si>
    <t>Hicks, lisa</t>
  </si>
  <si>
    <t>Marrero, Rachel</t>
  </si>
  <si>
    <t>Mills, Gary</t>
  </si>
  <si>
    <t>Roberts, Lori</t>
  </si>
  <si>
    <t>Sharp, Sonia</t>
  </si>
  <si>
    <t>Vaughn, Gregory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</si>
</sst>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name val="Arial"/>
      <family val="2"/>
    </font>
    <font>
      <b/>
      <sz val="12"/>
      <color rgb="FFFA7D00"/>
      <name val="Arial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0" borderId="0"/>
    <xf numFmtId="9" fontId="11" fillId="0" borderId="0" applyFont="0" applyFill="0" applyBorder="0" applyAlignment="0" applyProtection="0"/>
  </cellStyleXfs>
  <cellXfs count="67">
    <xf numFmtId="0" fontId="0" fillId="0" borderId="0" xfId="0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right"/>
    </xf>
    <xf numFmtId="0" fontId="6" fillId="0" borderId="0" xfId="0" applyFont="1"/>
    <xf numFmtId="0" fontId="5" fillId="0" borderId="0" xfId="0" applyFont="1" applyAlignment="1">
      <alignment horizontal="left"/>
    </xf>
    <xf numFmtId="0" fontId="5" fillId="0" borderId="2" xfId="0" applyFont="1" applyBorder="1"/>
    <xf numFmtId="0" fontId="3" fillId="0" borderId="0" xfId="0" applyFont="1"/>
    <xf numFmtId="0" fontId="5" fillId="0" borderId="0" xfId="0" applyFont="1" applyAlignment="1">
      <alignment horizontal="right"/>
    </xf>
    <xf numFmtId="0" fontId="8" fillId="2" borderId="1" xfId="1" applyFont="1" applyAlignment="1">
      <alignment horizontal="center" vertical="center"/>
    </xf>
    <xf numFmtId="0" fontId="5" fillId="0" borderId="4" xfId="0" applyFont="1" applyBorder="1"/>
    <xf numFmtId="0" fontId="5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left"/>
    </xf>
    <xf numFmtId="0" fontId="3" fillId="0" borderId="4" xfId="0" applyFont="1" applyBorder="1"/>
    <xf numFmtId="0" fontId="5" fillId="0" borderId="4" xfId="0" applyFont="1" applyBorder="1" applyAlignment="1">
      <alignment horizontal="left"/>
    </xf>
    <xf numFmtId="0" fontId="2" fillId="0" borderId="0" xfId="0" applyFont="1"/>
    <xf numFmtId="14" fontId="5" fillId="0" borderId="2" xfId="0" applyNumberFormat="1" applyFont="1" applyBorder="1"/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7" borderId="0" xfId="0" applyFont="1" applyFill="1" applyAlignment="1">
      <alignment horizontal="center"/>
    </xf>
    <xf numFmtId="0" fontId="2" fillId="6" borderId="4" xfId="0" applyFont="1" applyFill="1" applyBorder="1" applyAlignment="1">
      <alignment horizontal="center" vertical="center"/>
    </xf>
    <xf numFmtId="0" fontId="9" fillId="6" borderId="1" xfId="1" applyFont="1" applyFill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3" fillId="7" borderId="1" xfId="1" applyFont="1" applyFill="1" applyAlignment="1">
      <alignment horizontal="center" vertical="center"/>
    </xf>
    <xf numFmtId="0" fontId="3" fillId="6" borderId="1" xfId="1" applyFont="1" applyFill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16" fontId="5" fillId="0" borderId="4" xfId="0" applyNumberFormat="1" applyFont="1" applyBorder="1" applyAlignment="1">
      <alignment horizontal="left"/>
    </xf>
    <xf numFmtId="0" fontId="3" fillId="5" borderId="1" xfId="1" applyFont="1" applyFill="1" applyAlignment="1">
      <alignment horizontal="center" vertical="center"/>
    </xf>
    <xf numFmtId="0" fontId="5" fillId="8" borderId="0" xfId="0" applyFont="1" applyFill="1"/>
    <xf numFmtId="0" fontId="2" fillId="8" borderId="4" xfId="0" applyFont="1" applyFill="1" applyBorder="1" applyAlignment="1">
      <alignment horizontal="center" vertical="center"/>
    </xf>
    <xf numFmtId="0" fontId="9" fillId="7" borderId="1" xfId="1" applyFont="1" applyFill="1" applyAlignment="1">
      <alignment horizontal="center" vertical="center"/>
    </xf>
    <xf numFmtId="0" fontId="3" fillId="0" borderId="1" xfId="1" applyFont="1" applyFill="1" applyAlignment="1">
      <alignment horizontal="center" vertical="center"/>
    </xf>
    <xf numFmtId="0" fontId="9" fillId="5" borderId="1" xfId="1" applyFont="1" applyFill="1" applyAlignment="1">
      <alignment horizontal="center" vertical="center"/>
    </xf>
    <xf numFmtId="0" fontId="5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5" fillId="5" borderId="4" xfId="0" applyFont="1" applyFill="1" applyBorder="1"/>
    <xf numFmtId="0" fontId="5" fillId="7" borderId="4" xfId="0" applyFont="1" applyFill="1" applyBorder="1"/>
    <xf numFmtId="0" fontId="5" fillId="7" borderId="4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12" fillId="0" borderId="0" xfId="2" applyFont="1" applyAlignment="1">
      <alignment horizontal="center" vertical="center"/>
    </xf>
    <xf numFmtId="0" fontId="11" fillId="0" borderId="0" xfId="2" applyAlignment="1">
      <alignment horizontal="center" textRotation="90"/>
    </xf>
    <xf numFmtId="0" fontId="11" fillId="0" borderId="0" xfId="2" applyAlignment="1">
      <alignment horizontal="center" vertical="center"/>
    </xf>
    <xf numFmtId="2" fontId="11" fillId="0" borderId="0" xfId="2" applyNumberFormat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10" fontId="11" fillId="0" borderId="0" xfId="3" applyNumberFormat="1" applyFont="1" applyAlignment="1">
      <alignment horizontal="center" vertical="center"/>
    </xf>
    <xf numFmtId="0" fontId="11" fillId="0" borderId="0" xfId="2" applyAlignment="1">
      <alignment horizontal="center" vertical="center" textRotation="90"/>
    </xf>
  </cellXfs>
  <cellStyles count="4">
    <cellStyle name="Cálculo" xfId="1" builtinId="22"/>
    <cellStyle name="Normal" xfId="0" builtinId="0"/>
    <cellStyle name="Normal 2" xfId="2" xr:uid="{461FEC78-2F00-4F4B-8BF9-D059846E96DA}"/>
    <cellStyle name="Porcentagem 2" xfId="3" xr:uid="{F4A909F9-DB1C-4E14-9E99-495A5E2B46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aredStrings" Target="sharedStrings.xml"/><Relationship Id="rId108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7330F-718F-4ACC-B4CA-F181FB707C4D}">
  <sheetPr codeName="Planilha101"/>
  <dimension ref="A2:E101"/>
  <sheetViews>
    <sheetView workbookViewId="0">
      <selection activeCell="G47" sqref="G47"/>
    </sheetView>
  </sheetViews>
  <sheetFormatPr defaultRowHeight="14.5" x14ac:dyDescent="0.35"/>
  <cols>
    <col min="1" max="1" width="18" bestFit="1" customWidth="1"/>
    <col min="2" max="2" width="18" customWidth="1"/>
    <col min="3" max="3" width="2.81640625" bestFit="1" customWidth="1"/>
  </cols>
  <sheetData>
    <row r="2" spans="1:5" x14ac:dyDescent="0.35">
      <c r="A2" t="s">
        <v>227</v>
      </c>
      <c r="C2" s="62"/>
    </row>
    <row r="3" spans="1:5" x14ac:dyDescent="0.35">
      <c r="A3" t="s">
        <v>228</v>
      </c>
    </row>
    <row r="4" spans="1:5" x14ac:dyDescent="0.35">
      <c r="A4" t="s">
        <v>34</v>
      </c>
      <c r="B4" t="s">
        <v>245</v>
      </c>
      <c r="C4">
        <v>5</v>
      </c>
      <c r="D4">
        <v>2</v>
      </c>
      <c r="E4" t="str">
        <f>IFERROR(HLOOKUP(B4,Data_Compiled!$B$1:$CS$1,1,0),"")</f>
        <v>Akulic, Marlene</v>
      </c>
    </row>
    <row r="5" spans="1:5" x14ac:dyDescent="0.35">
      <c r="A5" t="s">
        <v>35</v>
      </c>
      <c r="B5" t="s">
        <v>183</v>
      </c>
      <c r="C5">
        <v>4</v>
      </c>
      <c r="D5">
        <v>5</v>
      </c>
      <c r="E5" t="str">
        <f>IFERROR(HLOOKUP(B5,Data_Compiled!$B$1:$CS$1,1,0),"")</f>
        <v>Atkins, Reva</v>
      </c>
    </row>
    <row r="6" spans="1:5" x14ac:dyDescent="0.35">
      <c r="A6" t="s">
        <v>123</v>
      </c>
      <c r="B6" t="s">
        <v>184</v>
      </c>
      <c r="C6">
        <v>4</v>
      </c>
      <c r="D6">
        <v>4</v>
      </c>
      <c r="E6" t="str">
        <f>IFERROR(HLOOKUP(B6,Data_Compiled!$B$1:$CS$1,1,0),"")</f>
        <v>Barnes, Ashley</v>
      </c>
    </row>
    <row r="7" spans="1:5" x14ac:dyDescent="0.35">
      <c r="A7" t="s">
        <v>36</v>
      </c>
      <c r="B7" t="s">
        <v>246</v>
      </c>
      <c r="C7">
        <v>2</v>
      </c>
      <c r="D7">
        <v>1</v>
      </c>
      <c r="E7" t="str">
        <f>IFERROR(HLOOKUP(B7,Data_Compiled!$B$1:$CS$1,1,0),"")</f>
        <v>Barnes, Eric</v>
      </c>
    </row>
    <row r="8" spans="1:5" x14ac:dyDescent="0.35">
      <c r="A8" t="s">
        <v>37</v>
      </c>
      <c r="B8" t="s">
        <v>247</v>
      </c>
      <c r="C8">
        <v>2</v>
      </c>
      <c r="D8">
        <v>3</v>
      </c>
      <c r="E8" t="str">
        <f>IFERROR(HLOOKUP(B8,Data_Compiled!$B$1:$CS$1,1,0),"")</f>
        <v>Barnes, Sarah</v>
      </c>
    </row>
    <row r="9" spans="1:5" x14ac:dyDescent="0.35">
      <c r="A9" t="s">
        <v>38</v>
      </c>
      <c r="B9" t="s">
        <v>185</v>
      </c>
      <c r="C9">
        <v>2</v>
      </c>
      <c r="D9">
        <v>5</v>
      </c>
      <c r="E9" t="str">
        <f>IFERROR(HLOOKUP(B9,Data_Compiled!$B$1:$CS$1,1,0),"")</f>
        <v>Bivens, Bethany</v>
      </c>
    </row>
    <row r="10" spans="1:5" x14ac:dyDescent="0.35">
      <c r="A10" t="s">
        <v>39</v>
      </c>
      <c r="B10" t="s">
        <v>186</v>
      </c>
      <c r="C10">
        <v>2</v>
      </c>
      <c r="D10">
        <v>2</v>
      </c>
      <c r="E10" t="str">
        <f>IFERROR(HLOOKUP(B10,Data_Compiled!$B$1:$CS$1,1,0),"")</f>
        <v>Bivens, Diane</v>
      </c>
    </row>
    <row r="11" spans="1:5" x14ac:dyDescent="0.35">
      <c r="A11" t="s">
        <v>40</v>
      </c>
      <c r="B11" t="s">
        <v>187</v>
      </c>
      <c r="C11">
        <v>1</v>
      </c>
      <c r="D11">
        <v>0</v>
      </c>
      <c r="E11" t="str">
        <f>IFERROR(HLOOKUP(B11,Data_Compiled!$B$1:$CS$1,1,0),"")</f>
        <v>Bivens, Tammie</v>
      </c>
    </row>
    <row r="12" spans="1:5" x14ac:dyDescent="0.35">
      <c r="A12" t="s">
        <v>41</v>
      </c>
      <c r="B12" t="s">
        <v>248</v>
      </c>
      <c r="C12">
        <v>3</v>
      </c>
      <c r="D12">
        <v>2</v>
      </c>
      <c r="E12" t="str">
        <f>IFERROR(HLOOKUP(B12,Data_Compiled!$B$1:$CS$1,1,0),"")</f>
        <v>Bledsoe, Amy</v>
      </c>
    </row>
    <row r="13" spans="1:5" x14ac:dyDescent="0.35">
      <c r="A13" t="s">
        <v>42</v>
      </c>
      <c r="B13" t="s">
        <v>249</v>
      </c>
      <c r="C13">
        <v>0</v>
      </c>
      <c r="D13">
        <v>1</v>
      </c>
      <c r="E13" t="str">
        <f>IFERROR(HLOOKUP(B13,Data_Compiled!$B$1:$CS$1,1,0),"")</f>
        <v>Bookout, Nancy</v>
      </c>
    </row>
    <row r="14" spans="1:5" x14ac:dyDescent="0.35">
      <c r="A14" t="s">
        <v>181</v>
      </c>
      <c r="B14" t="s">
        <v>250</v>
      </c>
      <c r="C14">
        <v>0</v>
      </c>
      <c r="D14">
        <v>0</v>
      </c>
      <c r="E14" t="str">
        <f>IFERROR(HLOOKUP(B14,Data_Compiled!$B$1:$CS$1,1,0),"")</f>
        <v/>
      </c>
    </row>
    <row r="15" spans="1:5" x14ac:dyDescent="0.35">
      <c r="A15" t="s">
        <v>229</v>
      </c>
      <c r="B15" t="s">
        <v>251</v>
      </c>
      <c r="C15">
        <v>3</v>
      </c>
      <c r="D15">
        <v>5</v>
      </c>
      <c r="E15" t="str">
        <f>IFERROR(HLOOKUP(B15,Data_Compiled!$B$1:$CS$1,1,0),"")</f>
        <v/>
      </c>
    </row>
    <row r="16" spans="1:5" x14ac:dyDescent="0.35">
      <c r="A16" t="s">
        <v>44</v>
      </c>
      <c r="B16" t="s">
        <v>252</v>
      </c>
      <c r="C16">
        <v>7</v>
      </c>
      <c r="D16">
        <v>6</v>
      </c>
      <c r="E16" t="str">
        <f>IFERROR(HLOOKUP(B16,Data_Compiled!$B$1:$CS$1,1,0),"")</f>
        <v>Brooks, Tammy</v>
      </c>
    </row>
    <row r="17" spans="1:5" x14ac:dyDescent="0.35">
      <c r="A17" t="s">
        <v>45</v>
      </c>
      <c r="B17" t="s">
        <v>188</v>
      </c>
      <c r="C17">
        <v>6</v>
      </c>
      <c r="D17">
        <v>2</v>
      </c>
      <c r="E17" t="str">
        <f>IFERROR(HLOOKUP(B17,Data_Compiled!$B$1:$CS$1,1,0),"")</f>
        <v>Brummett, Sebrina</v>
      </c>
    </row>
    <row r="18" spans="1:5" x14ac:dyDescent="0.35">
      <c r="A18" t="s">
        <v>230</v>
      </c>
      <c r="B18" t="s">
        <v>189</v>
      </c>
      <c r="C18">
        <v>4</v>
      </c>
      <c r="D18">
        <v>1</v>
      </c>
      <c r="E18" t="str">
        <f>IFERROR(HLOOKUP(B18,Data_Compiled!$B$1:$CS$1,1,0),"")</f>
        <v>Bryan, Sheena</v>
      </c>
    </row>
    <row r="19" spans="1:5" x14ac:dyDescent="0.35">
      <c r="A19" t="s">
        <v>47</v>
      </c>
      <c r="B19" t="s">
        <v>190</v>
      </c>
      <c r="C19">
        <v>5</v>
      </c>
      <c r="D19">
        <v>5</v>
      </c>
      <c r="E19" t="str">
        <f>IFERROR(HLOOKUP(B19,Data_Compiled!$B$1:$CS$1,1,0),"")</f>
        <v>Burger, Mary</v>
      </c>
    </row>
    <row r="20" spans="1:5" x14ac:dyDescent="0.35">
      <c r="A20" t="s">
        <v>231</v>
      </c>
      <c r="B20" t="s">
        <v>253</v>
      </c>
      <c r="C20">
        <v>1</v>
      </c>
      <c r="D20">
        <v>1</v>
      </c>
      <c r="E20" t="str">
        <f>IFERROR(HLOOKUP(B20,Data_Compiled!$B$1:$CS$1,1,0),"")</f>
        <v/>
      </c>
    </row>
    <row r="21" spans="1:5" x14ac:dyDescent="0.35">
      <c r="A21" t="s">
        <v>49</v>
      </c>
      <c r="B21" t="s">
        <v>254</v>
      </c>
      <c r="C21">
        <v>0</v>
      </c>
      <c r="D21">
        <v>0</v>
      </c>
      <c r="E21" t="str">
        <f>IFERROR(HLOOKUP(B21,Data_Compiled!$B$1:$CS$1,1,0),"")</f>
        <v>Carroll, Robin</v>
      </c>
    </row>
    <row r="22" spans="1:5" x14ac:dyDescent="0.35">
      <c r="A22" t="s">
        <v>50</v>
      </c>
      <c r="B22" t="s">
        <v>255</v>
      </c>
      <c r="C22">
        <v>2</v>
      </c>
      <c r="D22">
        <v>4</v>
      </c>
      <c r="E22" t="str">
        <f>IFERROR(HLOOKUP(B22,Data_Compiled!$B$1:$CS$1,1,0),"")</f>
        <v>Cathcart, Bess</v>
      </c>
    </row>
    <row r="23" spans="1:5" x14ac:dyDescent="0.35">
      <c r="A23" t="s">
        <v>51</v>
      </c>
      <c r="B23" t="s">
        <v>256</v>
      </c>
      <c r="C23">
        <v>4</v>
      </c>
      <c r="D23">
        <v>1</v>
      </c>
      <c r="E23" t="str">
        <f>IFERROR(HLOOKUP(B23,Data_Compiled!$B$1:$CS$1,1,0),"")</f>
        <v>Childress, Stacy</v>
      </c>
    </row>
    <row r="24" spans="1:5" x14ac:dyDescent="0.35">
      <c r="A24" t="s">
        <v>52</v>
      </c>
      <c r="B24" t="s">
        <v>257</v>
      </c>
      <c r="C24">
        <v>4</v>
      </c>
      <c r="D24">
        <v>5</v>
      </c>
      <c r="E24" t="str">
        <f>IFERROR(HLOOKUP(B24,Data_Compiled!$B$1:$CS$1,1,0),"")</f>
        <v>Clark, Elizabeth</v>
      </c>
    </row>
    <row r="25" spans="1:5" x14ac:dyDescent="0.35">
      <c r="A25" t="s">
        <v>53</v>
      </c>
      <c r="B25" t="s">
        <v>258</v>
      </c>
      <c r="C25">
        <v>8</v>
      </c>
      <c r="D25">
        <v>4</v>
      </c>
      <c r="E25" t="str">
        <f>IFERROR(HLOOKUP(B25,Data_Compiled!$B$1:$CS$1,1,0),"")</f>
        <v>Coburn, Lisa</v>
      </c>
    </row>
    <row r="26" spans="1:5" x14ac:dyDescent="0.35">
      <c r="A26" t="s">
        <v>54</v>
      </c>
      <c r="B26" t="s">
        <v>259</v>
      </c>
      <c r="C26">
        <v>3</v>
      </c>
      <c r="D26">
        <v>1</v>
      </c>
      <c r="E26" t="str">
        <f>IFERROR(HLOOKUP(B26,Data_Compiled!$B$1:$CS$1,1,0),"")</f>
        <v>Cooley, Tammy</v>
      </c>
    </row>
    <row r="27" spans="1:5" x14ac:dyDescent="0.35">
      <c r="A27" t="s">
        <v>55</v>
      </c>
      <c r="B27" t="s">
        <v>192</v>
      </c>
      <c r="C27">
        <v>4</v>
      </c>
      <c r="D27">
        <v>0</v>
      </c>
      <c r="E27" t="str">
        <f>IFERROR(HLOOKUP(B27,Data_Compiled!$B$1:$CS$1,1,0),"")</f>
        <v>Cooper, Alice</v>
      </c>
    </row>
    <row r="28" spans="1:5" x14ac:dyDescent="0.35">
      <c r="A28" t="s">
        <v>56</v>
      </c>
      <c r="B28" t="s">
        <v>260</v>
      </c>
      <c r="C28">
        <v>1</v>
      </c>
      <c r="D28">
        <v>3</v>
      </c>
      <c r="E28" t="str">
        <f>IFERROR(HLOOKUP(B28,Data_Compiled!$B$1:$CS$1,1,0),"")</f>
        <v>Davis, Kimberly</v>
      </c>
    </row>
    <row r="29" spans="1:5" x14ac:dyDescent="0.35">
      <c r="A29" t="s">
        <v>57</v>
      </c>
      <c r="B29" t="s">
        <v>261</v>
      </c>
      <c r="C29">
        <v>2</v>
      </c>
      <c r="D29">
        <v>3</v>
      </c>
      <c r="E29" t="str">
        <f>IFERROR(HLOOKUP(B29,Data_Compiled!$B$1:$CS$1,1,0),"")</f>
        <v>Dotson, Wanda</v>
      </c>
    </row>
    <row r="30" spans="1:5" x14ac:dyDescent="0.35">
      <c r="A30" t="s">
        <v>58</v>
      </c>
      <c r="B30" t="s">
        <v>193</v>
      </c>
      <c r="C30">
        <v>1</v>
      </c>
      <c r="D30">
        <v>2</v>
      </c>
      <c r="E30" t="str">
        <f>IFERROR(HLOOKUP(B30,Data_Compiled!$B$1:$CS$1,1,0),"")</f>
        <v>Douglas, Krystopher</v>
      </c>
    </row>
    <row r="31" spans="1:5" x14ac:dyDescent="0.35">
      <c r="A31" t="s">
        <v>232</v>
      </c>
      <c r="B31" t="s">
        <v>262</v>
      </c>
      <c r="C31">
        <v>0</v>
      </c>
      <c r="D31">
        <v>2</v>
      </c>
      <c r="E31" t="str">
        <f>IFERROR(HLOOKUP(B31,Data_Compiled!$B$1:$CS$1,1,0),"")</f>
        <v>Dunn, Lois</v>
      </c>
    </row>
    <row r="32" spans="1:5" x14ac:dyDescent="0.35">
      <c r="A32" t="s">
        <v>60</v>
      </c>
      <c r="B32" t="s">
        <v>263</v>
      </c>
      <c r="C32">
        <v>1</v>
      </c>
      <c r="D32">
        <v>0</v>
      </c>
      <c r="E32" t="str">
        <f>IFERROR(HLOOKUP(B32,Data_Compiled!$B$1:$CS$1,1,0),"")</f>
        <v>Fabrizio, Jamie</v>
      </c>
    </row>
    <row r="33" spans="1:5" x14ac:dyDescent="0.35">
      <c r="A33" t="s">
        <v>233</v>
      </c>
      <c r="B33" t="s">
        <v>264</v>
      </c>
      <c r="C33">
        <v>3</v>
      </c>
      <c r="D33">
        <v>1</v>
      </c>
      <c r="E33" t="str">
        <f>IFERROR(HLOOKUP(B33,Data_Compiled!$B$1:$CS$1,1,0),"")</f>
        <v/>
      </c>
    </row>
    <row r="34" spans="1:5" x14ac:dyDescent="0.35">
      <c r="A34" t="s">
        <v>234</v>
      </c>
      <c r="B34" t="s">
        <v>265</v>
      </c>
      <c r="C34">
        <v>3</v>
      </c>
      <c r="D34">
        <v>1</v>
      </c>
      <c r="E34" t="str">
        <f>IFERROR(HLOOKUP(B34,Data_Compiled!$B$1:$CS$1,1,0),"")</f>
        <v/>
      </c>
    </row>
    <row r="35" spans="1:5" x14ac:dyDescent="0.35">
      <c r="A35" t="s">
        <v>61</v>
      </c>
      <c r="B35" t="s">
        <v>266</v>
      </c>
      <c r="C35">
        <v>2</v>
      </c>
      <c r="D35">
        <v>7</v>
      </c>
      <c r="E35" t="str">
        <f>IFERROR(HLOOKUP(B35,Data_Compiled!$B$1:$CS$1,1,0),"")</f>
        <v>Ghormley, Kelly</v>
      </c>
    </row>
    <row r="36" spans="1:5" x14ac:dyDescent="0.35">
      <c r="A36" t="s">
        <v>62</v>
      </c>
      <c r="B36" t="s">
        <v>267</v>
      </c>
      <c r="C36">
        <v>3</v>
      </c>
      <c r="D36">
        <v>1</v>
      </c>
      <c r="E36" t="str">
        <f>IFERROR(HLOOKUP(B36,Data_Compiled!$B$1:$CS$1,1,0),"")</f>
        <v>Gibby, Benjamin</v>
      </c>
    </row>
    <row r="37" spans="1:5" x14ac:dyDescent="0.35">
      <c r="A37" t="s">
        <v>63</v>
      </c>
      <c r="B37" t="s">
        <v>268</v>
      </c>
      <c r="C37">
        <v>0</v>
      </c>
      <c r="D37">
        <v>0</v>
      </c>
      <c r="E37" t="str">
        <f>IFERROR(HLOOKUP(B37,Data_Compiled!$B$1:$CS$1,1,0),"")</f>
        <v>Gibby, Deborah</v>
      </c>
    </row>
    <row r="38" spans="1:5" x14ac:dyDescent="0.35">
      <c r="A38" t="s">
        <v>64</v>
      </c>
      <c r="B38" t="s">
        <v>269</v>
      </c>
      <c r="C38">
        <v>5</v>
      </c>
      <c r="D38">
        <v>2</v>
      </c>
      <c r="E38" t="str">
        <f>IFERROR(HLOOKUP(B38,Data_Compiled!$B$1:$CS$1,1,0),"")</f>
        <v>Givens, Robert</v>
      </c>
    </row>
    <row r="39" spans="1:5" x14ac:dyDescent="0.35">
      <c r="A39" t="s">
        <v>235</v>
      </c>
      <c r="B39" t="s">
        <v>270</v>
      </c>
      <c r="C39">
        <v>4</v>
      </c>
      <c r="D39">
        <v>0</v>
      </c>
      <c r="E39" t="str">
        <f>IFERROR(HLOOKUP(B39,Data_Compiled!$B$1:$CS$1,1,0),"")</f>
        <v>Godwin, Tonya</v>
      </c>
    </row>
    <row r="40" spans="1:5" x14ac:dyDescent="0.35">
      <c r="A40" t="s">
        <v>175</v>
      </c>
      <c r="B40" t="s">
        <v>271</v>
      </c>
      <c r="C40">
        <v>0</v>
      </c>
      <c r="D40">
        <v>0</v>
      </c>
      <c r="E40" t="str">
        <f>IFERROR(HLOOKUP(B40,Data_Compiled!$B$1:$CS$1,1,0),"")</f>
        <v/>
      </c>
    </row>
    <row r="41" spans="1:5" x14ac:dyDescent="0.35">
      <c r="A41" t="s">
        <v>66</v>
      </c>
      <c r="B41" t="s">
        <v>272</v>
      </c>
      <c r="C41">
        <v>0</v>
      </c>
      <c r="D41">
        <v>0</v>
      </c>
      <c r="E41" t="str">
        <f>IFERROR(HLOOKUP(B41,Data_Compiled!$B$1:$CS$1,1,0),"")</f>
        <v>Hall, Fredrick</v>
      </c>
    </row>
    <row r="42" spans="1:5" x14ac:dyDescent="0.35">
      <c r="A42" t="s">
        <v>236</v>
      </c>
      <c r="B42" t="s">
        <v>273</v>
      </c>
      <c r="C42">
        <v>0</v>
      </c>
      <c r="D42">
        <v>0</v>
      </c>
      <c r="E42" t="str">
        <f>IFERROR(HLOOKUP(B42,Data_Compiled!$B$1:$CS$1,1,0),"")</f>
        <v>Hall, Mary</v>
      </c>
    </row>
    <row r="43" spans="1:5" x14ac:dyDescent="0.35">
      <c r="A43" t="s">
        <v>68</v>
      </c>
      <c r="B43" t="s">
        <v>274</v>
      </c>
      <c r="C43">
        <v>0</v>
      </c>
      <c r="D43">
        <v>4</v>
      </c>
      <c r="E43" t="str">
        <f>IFERROR(HLOOKUP(B43,Data_Compiled!$B$1:$CS$1,1,0),"")</f>
        <v>Hampton, Angela</v>
      </c>
    </row>
    <row r="44" spans="1:5" x14ac:dyDescent="0.35">
      <c r="A44" t="s">
        <v>237</v>
      </c>
      <c r="B44" t="s">
        <v>275</v>
      </c>
      <c r="C44">
        <v>2</v>
      </c>
      <c r="D44">
        <v>2</v>
      </c>
      <c r="E44" t="str">
        <f>IFERROR(HLOOKUP(B44,Data_Compiled!$B$1:$CS$1,1,0),"")</f>
        <v>Harris, Nancy</v>
      </c>
    </row>
    <row r="45" spans="1:5" x14ac:dyDescent="0.35">
      <c r="A45" t="s">
        <v>70</v>
      </c>
      <c r="B45" t="s">
        <v>276</v>
      </c>
      <c r="C45">
        <v>6</v>
      </c>
      <c r="D45">
        <v>0</v>
      </c>
      <c r="E45" t="str">
        <f>IFERROR(HLOOKUP(B45,Data_Compiled!$B$1:$CS$1,1,0),"")</f>
        <v>Headrick, Lena</v>
      </c>
    </row>
    <row r="46" spans="1:5" x14ac:dyDescent="0.35">
      <c r="A46" t="s">
        <v>71</v>
      </c>
      <c r="B46" t="s">
        <v>194</v>
      </c>
      <c r="C46">
        <v>1</v>
      </c>
      <c r="D46">
        <v>3</v>
      </c>
      <c r="E46" t="str">
        <f>IFERROR(HLOOKUP(B46,Data_Compiled!$B$1:$CS$1,1,0),"")</f>
        <v>Helton, Lisa</v>
      </c>
    </row>
    <row r="47" spans="1:5" x14ac:dyDescent="0.35">
      <c r="A47" t="s">
        <v>72</v>
      </c>
      <c r="B47" t="s">
        <v>277</v>
      </c>
      <c r="C47">
        <v>3</v>
      </c>
      <c r="D47">
        <v>1</v>
      </c>
      <c r="E47" t="str">
        <f>IFERROR(HLOOKUP(B47,Data_Compiled!$B$1:$CS$1,1,0),"")</f>
        <v>Hicks, lisa</v>
      </c>
    </row>
    <row r="48" spans="1:5" x14ac:dyDescent="0.35">
      <c r="A48" t="s">
        <v>73</v>
      </c>
      <c r="B48" t="s">
        <v>278</v>
      </c>
      <c r="C48">
        <v>1</v>
      </c>
      <c r="D48">
        <v>0</v>
      </c>
      <c r="E48" t="str">
        <f>IFERROR(HLOOKUP(B48,Data_Compiled!$B$1:$CS$1,1,0),"")</f>
        <v>Howarth, Amy</v>
      </c>
    </row>
    <row r="49" spans="1:5" x14ac:dyDescent="0.35">
      <c r="A49" t="s">
        <v>74</v>
      </c>
      <c r="B49" t="s">
        <v>279</v>
      </c>
      <c r="C49">
        <v>4</v>
      </c>
      <c r="D49">
        <v>1</v>
      </c>
      <c r="E49" t="str">
        <f>IFERROR(HLOOKUP(B49,Data_Compiled!$B$1:$CS$1,1,0),"")</f>
        <v>Hunt, Nancy</v>
      </c>
    </row>
    <row r="50" spans="1:5" x14ac:dyDescent="0.35">
      <c r="A50" t="s">
        <v>148</v>
      </c>
      <c r="B50" t="s">
        <v>280</v>
      </c>
      <c r="C50">
        <v>0</v>
      </c>
      <c r="D50">
        <v>1</v>
      </c>
      <c r="E50" t="str">
        <f>IFERROR(HLOOKUP(B50,Data_Compiled!$B$1:$CS$1,1,0),"")</f>
        <v/>
      </c>
    </row>
    <row r="51" spans="1:5" x14ac:dyDescent="0.35">
      <c r="A51" t="s">
        <v>170</v>
      </c>
      <c r="B51" t="s">
        <v>281</v>
      </c>
      <c r="C51">
        <v>0</v>
      </c>
      <c r="D51">
        <v>2</v>
      </c>
      <c r="E51" t="str">
        <f>IFERROR(HLOOKUP(B51,Data_Compiled!$B$1:$CS$1,1,0),"")</f>
        <v/>
      </c>
    </row>
    <row r="52" spans="1:5" x14ac:dyDescent="0.35">
      <c r="A52" t="s">
        <v>75</v>
      </c>
      <c r="B52" t="s">
        <v>196</v>
      </c>
      <c r="C52">
        <v>1</v>
      </c>
      <c r="D52">
        <v>0</v>
      </c>
      <c r="E52" t="str">
        <f>IFERROR(HLOOKUP(B52,Data_Compiled!$B$1:$CS$1,1,0),"")</f>
        <v>Jones, Deborah</v>
      </c>
    </row>
    <row r="53" spans="1:5" x14ac:dyDescent="0.35">
      <c r="A53" t="s">
        <v>76</v>
      </c>
      <c r="B53" t="s">
        <v>282</v>
      </c>
      <c r="C53">
        <v>0</v>
      </c>
      <c r="D53">
        <v>0</v>
      </c>
      <c r="E53" t="str">
        <f>IFERROR(HLOOKUP(B53,Data_Compiled!$B$1:$CS$1,1,0),"")</f>
        <v/>
      </c>
    </row>
    <row r="54" spans="1:5" x14ac:dyDescent="0.35">
      <c r="A54" t="s">
        <v>77</v>
      </c>
      <c r="B54" t="s">
        <v>283</v>
      </c>
      <c r="C54">
        <v>3</v>
      </c>
      <c r="D54">
        <v>1</v>
      </c>
      <c r="E54" t="str">
        <f>IFERROR(HLOOKUP(B54,Data_Compiled!$B$1:$CS$1,1,0),"")</f>
        <v>Kelly, Delmis</v>
      </c>
    </row>
    <row r="55" spans="1:5" x14ac:dyDescent="0.35">
      <c r="A55" t="s">
        <v>78</v>
      </c>
      <c r="B55" t="s">
        <v>284</v>
      </c>
      <c r="C55">
        <v>1</v>
      </c>
      <c r="D55">
        <v>1</v>
      </c>
      <c r="E55" t="str">
        <f>IFERROR(HLOOKUP(B55,Data_Compiled!$B$1:$CS$1,1,0),"")</f>
        <v>Kelly, Justin</v>
      </c>
    </row>
    <row r="56" spans="1:5" x14ac:dyDescent="0.35">
      <c r="A56" t="s">
        <v>79</v>
      </c>
      <c r="B56" t="s">
        <v>285</v>
      </c>
      <c r="C56">
        <v>5</v>
      </c>
      <c r="D56">
        <v>0</v>
      </c>
      <c r="E56" t="str">
        <f>IFERROR(HLOOKUP(B56,Data_Compiled!$B$1:$CS$1,1,0),"")</f>
        <v>Kliever, Debbie</v>
      </c>
    </row>
    <row r="57" spans="1:5" x14ac:dyDescent="0.35">
      <c r="A57" t="s">
        <v>80</v>
      </c>
      <c r="B57" t="s">
        <v>286</v>
      </c>
      <c r="C57">
        <v>3</v>
      </c>
      <c r="D57">
        <v>6</v>
      </c>
      <c r="E57" t="str">
        <f>IFERROR(HLOOKUP(B57,Data_Compiled!$B$1:$CS$1,1,0),"")</f>
        <v>Lee, Ginger</v>
      </c>
    </row>
    <row r="58" spans="1:5" x14ac:dyDescent="0.35">
      <c r="A58" t="s">
        <v>81</v>
      </c>
      <c r="B58" t="s">
        <v>287</v>
      </c>
      <c r="C58">
        <v>1</v>
      </c>
      <c r="D58">
        <v>1</v>
      </c>
      <c r="E58" t="str">
        <f>IFERROR(HLOOKUP(B58,Data_Compiled!$B$1:$CS$1,1,0),"")</f>
        <v>Lorenz, Viola</v>
      </c>
    </row>
    <row r="59" spans="1:5" x14ac:dyDescent="0.35">
      <c r="A59" t="s">
        <v>82</v>
      </c>
      <c r="B59" t="s">
        <v>288</v>
      </c>
      <c r="C59">
        <v>1</v>
      </c>
      <c r="D59">
        <v>2</v>
      </c>
      <c r="E59" t="str">
        <f>IFERROR(HLOOKUP(B59,Data_Compiled!$B$1:$CS$1,1,0),"")</f>
        <v>Martin, Dusty</v>
      </c>
    </row>
    <row r="60" spans="1:5" x14ac:dyDescent="0.35">
      <c r="A60" t="s">
        <v>83</v>
      </c>
      <c r="B60" t="s">
        <v>289</v>
      </c>
      <c r="C60">
        <v>6</v>
      </c>
      <c r="D60">
        <v>6</v>
      </c>
      <c r="E60" t="str">
        <f>IFERROR(HLOOKUP(B60,Data_Compiled!$B$1:$CS$1,1,0),"")</f>
        <v>May, Cynthia</v>
      </c>
    </row>
    <row r="61" spans="1:5" x14ac:dyDescent="0.35">
      <c r="A61" t="s">
        <v>238</v>
      </c>
      <c r="B61" t="s">
        <v>290</v>
      </c>
      <c r="C61">
        <v>2</v>
      </c>
      <c r="D61">
        <v>3</v>
      </c>
      <c r="E61" t="str">
        <f>IFERROR(HLOOKUP(B61,Data_Compiled!$B$1:$CS$1,1,0),"")</f>
        <v>McCluskey, Loreta</v>
      </c>
    </row>
    <row r="62" spans="1:5" x14ac:dyDescent="0.35">
      <c r="A62" t="s">
        <v>85</v>
      </c>
      <c r="B62" t="s">
        <v>197</v>
      </c>
      <c r="C62">
        <v>5</v>
      </c>
      <c r="D62">
        <v>3</v>
      </c>
      <c r="E62" t="str">
        <f>IFERROR(HLOOKUP(B62,Data_Compiled!$B$1:$CS$1,1,0),"")</f>
        <v>McDaniel, Kaylee</v>
      </c>
    </row>
    <row r="63" spans="1:5" x14ac:dyDescent="0.35">
      <c r="A63" t="s">
        <v>86</v>
      </c>
      <c r="B63" t="s">
        <v>198</v>
      </c>
      <c r="C63">
        <v>1</v>
      </c>
      <c r="D63">
        <v>1</v>
      </c>
      <c r="E63" t="str">
        <f>IFERROR(HLOOKUP(B63,Data_Compiled!$B$1:$CS$1,1,0),"")</f>
        <v>McKee, Nathan</v>
      </c>
    </row>
    <row r="64" spans="1:5" x14ac:dyDescent="0.35">
      <c r="A64" t="s">
        <v>87</v>
      </c>
      <c r="B64" t="s">
        <v>291</v>
      </c>
      <c r="C64">
        <v>1</v>
      </c>
      <c r="D64">
        <v>0</v>
      </c>
      <c r="E64" t="str">
        <f>IFERROR(HLOOKUP(B64,Data_Compiled!$B$1:$CS$1,1,0),"")</f>
        <v>Miller, Gary</v>
      </c>
    </row>
    <row r="65" spans="1:5" x14ac:dyDescent="0.35">
      <c r="A65" t="s">
        <v>88</v>
      </c>
      <c r="B65" t="s">
        <v>292</v>
      </c>
      <c r="C65">
        <v>1</v>
      </c>
      <c r="D65">
        <v>3</v>
      </c>
      <c r="E65" t="str">
        <f>IFERROR(HLOOKUP(B65,Data_Compiled!$B$1:$CS$1,1,0),"")</f>
        <v>Moore, Darlene</v>
      </c>
    </row>
    <row r="66" spans="1:5" x14ac:dyDescent="0.35">
      <c r="A66" t="s">
        <v>89</v>
      </c>
      <c r="B66" t="s">
        <v>199</v>
      </c>
      <c r="C66">
        <v>4</v>
      </c>
      <c r="D66">
        <v>0</v>
      </c>
      <c r="E66" t="str">
        <f>IFERROR(HLOOKUP(B66,Data_Compiled!$B$1:$CS$1,1,0),"")</f>
        <v>Morris, Jessie</v>
      </c>
    </row>
    <row r="67" spans="1:5" x14ac:dyDescent="0.35">
      <c r="A67" t="s">
        <v>239</v>
      </c>
      <c r="B67" t="s">
        <v>293</v>
      </c>
      <c r="C67">
        <v>1</v>
      </c>
      <c r="D67">
        <v>3</v>
      </c>
      <c r="E67" t="str">
        <f>IFERROR(HLOOKUP(B67,Data_Compiled!$B$1:$CS$1,1,0),"")</f>
        <v/>
      </c>
    </row>
    <row r="68" spans="1:5" x14ac:dyDescent="0.35">
      <c r="A68" t="s">
        <v>90</v>
      </c>
      <c r="B68" t="s">
        <v>294</v>
      </c>
      <c r="C68">
        <v>4</v>
      </c>
      <c r="D68">
        <v>2</v>
      </c>
      <c r="E68" t="str">
        <f>IFERROR(HLOOKUP(B68,Data_Compiled!$B$1:$CS$1,1,0),"")</f>
        <v>Nichols, Brenda</v>
      </c>
    </row>
    <row r="69" spans="1:5" x14ac:dyDescent="0.35">
      <c r="A69" t="s">
        <v>91</v>
      </c>
      <c r="B69" t="s">
        <v>200</v>
      </c>
      <c r="C69">
        <v>7</v>
      </c>
      <c r="D69">
        <v>0</v>
      </c>
      <c r="E69" t="str">
        <f>IFERROR(HLOOKUP(B69,Data_Compiled!$B$1:$CS$1,1,0),"")</f>
        <v>Parker, Jerry</v>
      </c>
    </row>
    <row r="70" spans="1:5" x14ac:dyDescent="0.35">
      <c r="A70" t="s">
        <v>92</v>
      </c>
      <c r="B70" t="s">
        <v>295</v>
      </c>
      <c r="C70">
        <v>7</v>
      </c>
      <c r="D70">
        <v>0</v>
      </c>
      <c r="E70" t="str">
        <f>IFERROR(HLOOKUP(B70,Data_Compiled!$B$1:$CS$1,1,0),"")</f>
        <v>Patterson, Pamela</v>
      </c>
    </row>
    <row r="71" spans="1:5" x14ac:dyDescent="0.35">
      <c r="A71" t="s">
        <v>93</v>
      </c>
      <c r="B71" t="s">
        <v>296</v>
      </c>
      <c r="C71">
        <v>2</v>
      </c>
      <c r="D71">
        <v>4</v>
      </c>
      <c r="E71" t="str">
        <f>IFERROR(HLOOKUP(B71,Data_Compiled!$B$1:$CS$1,1,0),"")</f>
        <v>Peels, Carolyn</v>
      </c>
    </row>
    <row r="72" spans="1:5" x14ac:dyDescent="0.35">
      <c r="A72" t="s">
        <v>94</v>
      </c>
      <c r="B72" t="s">
        <v>297</v>
      </c>
      <c r="C72">
        <v>2</v>
      </c>
      <c r="D72">
        <v>3</v>
      </c>
      <c r="E72" t="str">
        <f>IFERROR(HLOOKUP(B72,Data_Compiled!$B$1:$CS$1,1,0),"")</f>
        <v>Peels, Timothy</v>
      </c>
    </row>
    <row r="73" spans="1:5" x14ac:dyDescent="0.35">
      <c r="A73" t="s">
        <v>95</v>
      </c>
      <c r="B73" t="s">
        <v>298</v>
      </c>
      <c r="C73">
        <v>18</v>
      </c>
      <c r="D73">
        <v>14</v>
      </c>
      <c r="E73" t="str">
        <f>IFERROR(HLOOKUP(B73,Data_Compiled!$B$1:$CS$1,1,0),"")</f>
        <v>Poff, Jessica</v>
      </c>
    </row>
    <row r="74" spans="1:5" x14ac:dyDescent="0.35">
      <c r="A74" t="s">
        <v>240</v>
      </c>
      <c r="B74" t="s">
        <v>299</v>
      </c>
      <c r="C74">
        <v>2</v>
      </c>
      <c r="D74">
        <v>3</v>
      </c>
      <c r="E74" t="str">
        <f>IFERROR(HLOOKUP(B74,Data_Compiled!$B$1:$CS$1,1,0),"")</f>
        <v>Rankin, Alan</v>
      </c>
    </row>
    <row r="75" spans="1:5" x14ac:dyDescent="0.35">
      <c r="A75" t="s">
        <v>153</v>
      </c>
      <c r="B75" t="s">
        <v>300</v>
      </c>
      <c r="C75">
        <v>0</v>
      </c>
      <c r="D75">
        <v>0</v>
      </c>
      <c r="E75" t="str">
        <f>IFERROR(HLOOKUP(B75,Data_Compiled!$B$1:$CS$1,1,0),"")</f>
        <v/>
      </c>
    </row>
    <row r="76" spans="1:5" x14ac:dyDescent="0.35">
      <c r="A76" t="s">
        <v>97</v>
      </c>
      <c r="B76" t="s">
        <v>201</v>
      </c>
      <c r="C76">
        <v>3</v>
      </c>
      <c r="D76">
        <v>0</v>
      </c>
      <c r="E76" t="str">
        <f>IFERROR(HLOOKUP(B76,Data_Compiled!$B$1:$CS$1,1,0),"")</f>
        <v>Reagan, Sandra</v>
      </c>
    </row>
    <row r="77" spans="1:5" x14ac:dyDescent="0.35">
      <c r="A77" t="s">
        <v>98</v>
      </c>
      <c r="B77" t="s">
        <v>202</v>
      </c>
      <c r="C77">
        <v>1</v>
      </c>
      <c r="D77">
        <v>3</v>
      </c>
      <c r="E77" t="str">
        <f>IFERROR(HLOOKUP(B77,Data_Compiled!$B$1:$CS$1,1,0),"")</f>
        <v>Redman, Melissa</v>
      </c>
    </row>
    <row r="78" spans="1:5" x14ac:dyDescent="0.35">
      <c r="A78" t="s">
        <v>99</v>
      </c>
      <c r="B78" t="s">
        <v>301</v>
      </c>
      <c r="C78">
        <v>14</v>
      </c>
      <c r="D78">
        <v>0</v>
      </c>
      <c r="E78" t="str">
        <f>IFERROR(HLOOKUP(B78,Data_Compiled!$B$1:$CS$1,1,0),"")</f>
        <v>Richesin, Joey</v>
      </c>
    </row>
    <row r="79" spans="1:5" x14ac:dyDescent="0.35">
      <c r="A79" t="s">
        <v>100</v>
      </c>
      <c r="B79" t="s">
        <v>203</v>
      </c>
      <c r="C79">
        <v>0</v>
      </c>
      <c r="D79">
        <v>1</v>
      </c>
      <c r="E79" t="str">
        <f>IFERROR(HLOOKUP(B79,Data_Compiled!$B$1:$CS$1,1,0),"")</f>
        <v>Roberts, Beverly</v>
      </c>
    </row>
    <row r="80" spans="1:5" x14ac:dyDescent="0.35">
      <c r="A80" t="s">
        <v>101</v>
      </c>
      <c r="B80" t="s">
        <v>302</v>
      </c>
      <c r="C80">
        <v>0</v>
      </c>
      <c r="D80">
        <v>0</v>
      </c>
      <c r="E80" t="str">
        <f>IFERROR(HLOOKUP(B80,Data_Compiled!$B$1:$CS$1,1,0),"")</f>
        <v>Roberts, Lisa</v>
      </c>
    </row>
    <row r="81" spans="1:5" x14ac:dyDescent="0.35">
      <c r="A81" t="s">
        <v>102</v>
      </c>
      <c r="B81" t="s">
        <v>204</v>
      </c>
      <c r="C81">
        <v>17</v>
      </c>
      <c r="D81">
        <v>10</v>
      </c>
      <c r="E81" t="str">
        <f>IFERROR(HLOOKUP(B81,Data_Compiled!$B$1:$CS$1,1,0),"")</f>
        <v>Rupinski, Alexis</v>
      </c>
    </row>
    <row r="82" spans="1:5" x14ac:dyDescent="0.35">
      <c r="A82" t="s">
        <v>103</v>
      </c>
      <c r="B82" t="s">
        <v>303</v>
      </c>
      <c r="C82">
        <v>1</v>
      </c>
      <c r="D82">
        <v>2</v>
      </c>
      <c r="E82" t="str">
        <f>IFERROR(HLOOKUP(B82,Data_Compiled!$B$1:$CS$1,1,0),"")</f>
        <v>Rupinski, Angela</v>
      </c>
    </row>
    <row r="83" spans="1:5" x14ac:dyDescent="0.35">
      <c r="A83" t="s">
        <v>104</v>
      </c>
      <c r="B83" t="s">
        <v>304</v>
      </c>
      <c r="C83">
        <v>4</v>
      </c>
      <c r="D83">
        <v>1</v>
      </c>
      <c r="E83" t="str">
        <f>IFERROR(HLOOKUP(B83,Data_Compiled!$B$1:$CS$1,1,0),"")</f>
        <v>Schomaker, Carla</v>
      </c>
    </row>
    <row r="84" spans="1:5" x14ac:dyDescent="0.35">
      <c r="A84" t="s">
        <v>105</v>
      </c>
      <c r="B84" t="s">
        <v>305</v>
      </c>
      <c r="C84">
        <v>4</v>
      </c>
      <c r="D84">
        <v>4</v>
      </c>
      <c r="E84" t="str">
        <f>IFERROR(HLOOKUP(B84,Data_Compiled!$B$1:$CS$1,1,0),"")</f>
        <v>Schutt, Caleb</v>
      </c>
    </row>
    <row r="85" spans="1:5" x14ac:dyDescent="0.35">
      <c r="A85" t="s">
        <v>106</v>
      </c>
      <c r="B85" t="s">
        <v>306</v>
      </c>
      <c r="C85">
        <v>3</v>
      </c>
      <c r="D85">
        <v>0</v>
      </c>
      <c r="E85" t="str">
        <f>IFERROR(HLOOKUP(B85,Data_Compiled!$B$1:$CS$1,1,0),"")</f>
        <v>Selby, Chasity</v>
      </c>
    </row>
    <row r="86" spans="1:5" x14ac:dyDescent="0.35">
      <c r="A86" t="s">
        <v>107</v>
      </c>
      <c r="B86" t="s">
        <v>307</v>
      </c>
      <c r="C86">
        <v>0</v>
      </c>
      <c r="D86">
        <v>2</v>
      </c>
      <c r="E86" t="str">
        <f>IFERROR(HLOOKUP(B86,Data_Compiled!$B$1:$CS$1,1,0),"")</f>
        <v>Self, Janet</v>
      </c>
    </row>
    <row r="87" spans="1:5" x14ac:dyDescent="0.35">
      <c r="A87" t="s">
        <v>241</v>
      </c>
      <c r="B87" t="s">
        <v>308</v>
      </c>
      <c r="C87">
        <v>3</v>
      </c>
      <c r="D87">
        <v>0</v>
      </c>
      <c r="E87" t="str">
        <f>IFERROR(HLOOKUP(B87,Data_Compiled!$B$1:$CS$1,1,0),"")</f>
        <v/>
      </c>
    </row>
    <row r="88" spans="1:5" x14ac:dyDescent="0.35">
      <c r="A88" t="s">
        <v>109</v>
      </c>
      <c r="B88" t="s">
        <v>309</v>
      </c>
      <c r="C88">
        <v>3</v>
      </c>
      <c r="D88">
        <v>2</v>
      </c>
      <c r="E88" t="str">
        <f>IFERROR(HLOOKUP(B88,Data_Compiled!$B$1:$CS$1,1,0),"")</f>
        <v>Shaw, Teia</v>
      </c>
    </row>
    <row r="89" spans="1:5" x14ac:dyDescent="0.35">
      <c r="A89" t="s">
        <v>242</v>
      </c>
      <c r="B89" t="s">
        <v>205</v>
      </c>
      <c r="C89">
        <v>6</v>
      </c>
      <c r="D89">
        <v>5</v>
      </c>
      <c r="E89" t="str">
        <f>IFERROR(HLOOKUP(B89,Data_Compiled!$B$1:$CS$1,1,0),"")</f>
        <v>Shepherd, Christina</v>
      </c>
    </row>
    <row r="90" spans="1:5" x14ac:dyDescent="0.35">
      <c r="A90" t="s">
        <v>111</v>
      </c>
      <c r="B90" t="s">
        <v>310</v>
      </c>
      <c r="C90">
        <v>1</v>
      </c>
      <c r="D90">
        <v>2</v>
      </c>
      <c r="E90" t="str">
        <f>IFERROR(HLOOKUP(B90,Data_Compiled!$B$1:$CS$1,1,0),"")</f>
        <v>Smith, Justin</v>
      </c>
    </row>
    <row r="91" spans="1:5" x14ac:dyDescent="0.35">
      <c r="A91" t="s">
        <v>112</v>
      </c>
      <c r="B91" t="s">
        <v>206</v>
      </c>
      <c r="C91">
        <v>0</v>
      </c>
      <c r="D91">
        <v>1</v>
      </c>
      <c r="E91" t="str">
        <f>IFERROR(HLOOKUP(B91,Data_Compiled!$B$1:$CS$1,1,0),"")</f>
        <v>Smith, Shannon</v>
      </c>
    </row>
    <row r="92" spans="1:5" x14ac:dyDescent="0.35">
      <c r="A92" t="s">
        <v>113</v>
      </c>
      <c r="B92" t="s">
        <v>311</v>
      </c>
      <c r="C92">
        <v>3</v>
      </c>
      <c r="D92">
        <v>4</v>
      </c>
      <c r="E92" t="str">
        <f>IFERROR(HLOOKUP(B92,Data_Compiled!$B$1:$CS$1,1,0),"")</f>
        <v>Stafford, Tabitha</v>
      </c>
    </row>
    <row r="93" spans="1:5" x14ac:dyDescent="0.35">
      <c r="A93" t="s">
        <v>114</v>
      </c>
      <c r="B93" t="s">
        <v>312</v>
      </c>
      <c r="C93">
        <v>1</v>
      </c>
      <c r="D93">
        <v>0</v>
      </c>
      <c r="E93" t="str">
        <f>IFERROR(HLOOKUP(B93,Data_Compiled!$B$1:$CS$1,1,0),"")</f>
        <v>Thomas, Emily</v>
      </c>
    </row>
    <row r="94" spans="1:5" x14ac:dyDescent="0.35">
      <c r="A94" t="s">
        <v>115</v>
      </c>
      <c r="B94" t="s">
        <v>313</v>
      </c>
      <c r="C94">
        <v>0</v>
      </c>
      <c r="D94">
        <v>0</v>
      </c>
      <c r="E94" t="str">
        <f>IFERROR(HLOOKUP(B94,Data_Compiled!$B$1:$CS$1,1,0),"")</f>
        <v/>
      </c>
    </row>
    <row r="95" spans="1:5" x14ac:dyDescent="0.35">
      <c r="A95" t="s">
        <v>116</v>
      </c>
      <c r="B95" t="s">
        <v>208</v>
      </c>
      <c r="C95">
        <v>4</v>
      </c>
      <c r="D95">
        <v>2</v>
      </c>
      <c r="E95" t="str">
        <f>IFERROR(HLOOKUP(B95,Data_Compiled!$B$1:$CS$1,1,0),"")</f>
        <v>Tipton, Rebecca</v>
      </c>
    </row>
    <row r="96" spans="1:5" x14ac:dyDescent="0.35">
      <c r="A96" t="s">
        <v>117</v>
      </c>
      <c r="B96" t="s">
        <v>314</v>
      </c>
      <c r="C96">
        <v>3</v>
      </c>
      <c r="D96">
        <v>5</v>
      </c>
      <c r="E96" t="str">
        <f>IFERROR(HLOOKUP(B96,Data_Compiled!$B$1:$CS$1,1,0),"")</f>
        <v>Veit, Jordan</v>
      </c>
    </row>
    <row r="97" spans="1:5" x14ac:dyDescent="0.35">
      <c r="A97" t="s">
        <v>118</v>
      </c>
      <c r="B97" t="s">
        <v>315</v>
      </c>
      <c r="C97">
        <v>3</v>
      </c>
      <c r="D97">
        <v>1</v>
      </c>
      <c r="E97" t="str">
        <f>IFERROR(HLOOKUP(B97,Data_Compiled!$B$1:$CS$1,1,0),"")</f>
        <v>Watson, Dennis</v>
      </c>
    </row>
    <row r="98" spans="1:5" x14ac:dyDescent="0.35">
      <c r="A98" t="s">
        <v>119</v>
      </c>
      <c r="B98" t="s">
        <v>316</v>
      </c>
      <c r="C98">
        <v>2</v>
      </c>
      <c r="D98">
        <v>2</v>
      </c>
      <c r="E98" t="str">
        <f>IFERROR(HLOOKUP(B98,Data_Compiled!$B$1:$CS$1,1,0),"")</f>
        <v>Wells, James</v>
      </c>
    </row>
    <row r="99" spans="1:5" x14ac:dyDescent="0.35">
      <c r="A99" t="s">
        <v>243</v>
      </c>
      <c r="B99" t="s">
        <v>317</v>
      </c>
      <c r="C99">
        <v>2</v>
      </c>
      <c r="D99">
        <v>1</v>
      </c>
      <c r="E99" t="str">
        <f>IFERROR(HLOOKUP(B99,Data_Compiled!$B$1:$CS$1,1,0),"")</f>
        <v>West, Sandra</v>
      </c>
    </row>
    <row r="100" spans="1:5" x14ac:dyDescent="0.35">
      <c r="A100" t="s">
        <v>244</v>
      </c>
      <c r="B100" t="s">
        <v>318</v>
      </c>
      <c r="C100">
        <v>3</v>
      </c>
      <c r="D100">
        <v>2</v>
      </c>
      <c r="E100" t="str">
        <f>IFERROR(HLOOKUP(B100,Data_Compiled!$B$1:$CS$1,1,0),"")</f>
        <v>Young, Karen</v>
      </c>
    </row>
    <row r="101" spans="1:5" x14ac:dyDescent="0.35">
      <c r="C101">
        <v>2</v>
      </c>
      <c r="E101" t="str">
        <f>IFERROR(HLOOKUP(B101,Data_Compiled!$B$1:$CS$1,1,0),"")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9F39F-7E2C-4E4F-A214-5D72C9B7AB7B}">
  <sheetPr codeName="Planilha98"/>
  <dimension ref="A1:CW3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RowHeight="12.5" x14ac:dyDescent="0.35"/>
  <cols>
    <col min="1" max="1" width="14" style="62" bestFit="1" customWidth="1"/>
    <col min="2" max="97" width="8.36328125" style="62" customWidth="1"/>
    <col min="98" max="98" width="8.7265625" style="62"/>
    <col min="99" max="99" width="7.7265625" style="62" customWidth="1"/>
    <col min="100" max="100" width="7.6328125" style="62" bestFit="1" customWidth="1"/>
    <col min="101" max="101" width="9" style="62" bestFit="1" customWidth="1"/>
    <col min="102" max="16384" width="8.7265625" style="62"/>
  </cols>
  <sheetData>
    <row r="1" spans="1:101" ht="96" x14ac:dyDescent="0.35">
      <c r="A1" s="60" t="s">
        <v>182</v>
      </c>
      <c r="B1" s="61" t="s">
        <v>245</v>
      </c>
      <c r="C1" s="61" t="s">
        <v>319</v>
      </c>
      <c r="D1" s="61" t="s">
        <v>183</v>
      </c>
      <c r="E1" s="61" t="s">
        <v>184</v>
      </c>
      <c r="F1" s="61" t="s">
        <v>246</v>
      </c>
      <c r="G1" s="61" t="s">
        <v>247</v>
      </c>
      <c r="H1" s="61" t="s">
        <v>185</v>
      </c>
      <c r="I1" s="61" t="s">
        <v>186</v>
      </c>
      <c r="J1" s="61" t="s">
        <v>187</v>
      </c>
      <c r="K1" s="61" t="s">
        <v>248</v>
      </c>
      <c r="L1" s="61" t="s">
        <v>249</v>
      </c>
      <c r="M1" s="61" t="s">
        <v>320</v>
      </c>
      <c r="N1" s="61" t="s">
        <v>252</v>
      </c>
      <c r="O1" s="61" t="s">
        <v>188</v>
      </c>
      <c r="P1" s="61" t="s">
        <v>189</v>
      </c>
      <c r="Q1" s="61" t="s">
        <v>190</v>
      </c>
      <c r="R1" s="61" t="s">
        <v>191</v>
      </c>
      <c r="S1" s="61" t="s">
        <v>254</v>
      </c>
      <c r="T1" s="61" t="s">
        <v>255</v>
      </c>
      <c r="U1" s="61" t="s">
        <v>256</v>
      </c>
      <c r="V1" s="61" t="s">
        <v>257</v>
      </c>
      <c r="W1" s="61" t="s">
        <v>258</v>
      </c>
      <c r="X1" s="61" t="s">
        <v>259</v>
      </c>
      <c r="Y1" s="61" t="s">
        <v>192</v>
      </c>
      <c r="Z1" s="61" t="s">
        <v>260</v>
      </c>
      <c r="AA1" s="61" t="s">
        <v>193</v>
      </c>
      <c r="AB1" s="61" t="s">
        <v>321</v>
      </c>
      <c r="AC1" s="61" t="s">
        <v>261</v>
      </c>
      <c r="AD1" s="61" t="s">
        <v>262</v>
      </c>
      <c r="AE1" s="61" t="s">
        <v>263</v>
      </c>
      <c r="AF1" s="61" t="s">
        <v>266</v>
      </c>
      <c r="AG1" s="61" t="s">
        <v>267</v>
      </c>
      <c r="AH1" s="61" t="s">
        <v>268</v>
      </c>
      <c r="AI1" s="61" t="s">
        <v>269</v>
      </c>
      <c r="AJ1" s="61" t="s">
        <v>270</v>
      </c>
      <c r="AK1" s="61" t="s">
        <v>272</v>
      </c>
      <c r="AL1" s="61" t="s">
        <v>273</v>
      </c>
      <c r="AM1" s="61" t="s">
        <v>274</v>
      </c>
      <c r="AN1" s="61" t="s">
        <v>275</v>
      </c>
      <c r="AO1" s="61" t="s">
        <v>322</v>
      </c>
      <c r="AP1" s="61" t="s">
        <v>276</v>
      </c>
      <c r="AQ1" s="61" t="s">
        <v>194</v>
      </c>
      <c r="AR1" s="61" t="s">
        <v>323</v>
      </c>
      <c r="AS1" s="61" t="s">
        <v>195</v>
      </c>
      <c r="AT1" s="61" t="s">
        <v>278</v>
      </c>
      <c r="AU1" s="61" t="s">
        <v>279</v>
      </c>
      <c r="AV1" s="61" t="s">
        <v>196</v>
      </c>
      <c r="AW1" s="61" t="s">
        <v>283</v>
      </c>
      <c r="AX1" s="61" t="s">
        <v>284</v>
      </c>
      <c r="AY1" s="61" t="s">
        <v>285</v>
      </c>
      <c r="AZ1" s="61" t="s">
        <v>286</v>
      </c>
      <c r="BA1" s="61" t="s">
        <v>287</v>
      </c>
      <c r="BB1" s="61" t="s">
        <v>324</v>
      </c>
      <c r="BC1" s="61" t="s">
        <v>288</v>
      </c>
      <c r="BD1" s="61" t="s">
        <v>289</v>
      </c>
      <c r="BE1" s="61" t="s">
        <v>290</v>
      </c>
      <c r="BF1" s="61" t="s">
        <v>197</v>
      </c>
      <c r="BG1" s="61" t="s">
        <v>198</v>
      </c>
      <c r="BH1" s="61" t="s">
        <v>291</v>
      </c>
      <c r="BI1" s="61" t="s">
        <v>325</v>
      </c>
      <c r="BJ1" s="61" t="s">
        <v>292</v>
      </c>
      <c r="BK1" s="61" t="s">
        <v>199</v>
      </c>
      <c r="BL1" s="61" t="s">
        <v>294</v>
      </c>
      <c r="BM1" s="61" t="s">
        <v>200</v>
      </c>
      <c r="BN1" s="61" t="s">
        <v>295</v>
      </c>
      <c r="BO1" s="61" t="s">
        <v>296</v>
      </c>
      <c r="BP1" s="61" t="s">
        <v>297</v>
      </c>
      <c r="BQ1" s="61" t="s">
        <v>298</v>
      </c>
      <c r="BR1" s="61" t="s">
        <v>299</v>
      </c>
      <c r="BS1" s="61" t="s">
        <v>201</v>
      </c>
      <c r="BT1" s="61" t="s">
        <v>202</v>
      </c>
      <c r="BU1" s="61" t="s">
        <v>301</v>
      </c>
      <c r="BV1" s="61" t="s">
        <v>203</v>
      </c>
      <c r="BW1" s="61" t="s">
        <v>302</v>
      </c>
      <c r="BX1" s="61" t="s">
        <v>326</v>
      </c>
      <c r="BY1" s="61" t="s">
        <v>303</v>
      </c>
      <c r="BZ1" s="61" t="s">
        <v>204</v>
      </c>
      <c r="CA1" s="61" t="s">
        <v>305</v>
      </c>
      <c r="CB1" s="61" t="s">
        <v>304</v>
      </c>
      <c r="CC1" s="61" t="s">
        <v>306</v>
      </c>
      <c r="CD1" s="61" t="s">
        <v>307</v>
      </c>
      <c r="CE1" s="61" t="s">
        <v>327</v>
      </c>
      <c r="CF1" s="61" t="s">
        <v>309</v>
      </c>
      <c r="CG1" s="61" t="s">
        <v>205</v>
      </c>
      <c r="CH1" s="61" t="s">
        <v>206</v>
      </c>
      <c r="CI1" s="61" t="s">
        <v>310</v>
      </c>
      <c r="CJ1" s="61" t="s">
        <v>311</v>
      </c>
      <c r="CK1" s="61" t="s">
        <v>207</v>
      </c>
      <c r="CL1" s="61" t="s">
        <v>312</v>
      </c>
      <c r="CM1" s="61" t="s">
        <v>208</v>
      </c>
      <c r="CN1" s="61" t="s">
        <v>328</v>
      </c>
      <c r="CO1" s="61" t="s">
        <v>314</v>
      </c>
      <c r="CP1" s="61" t="s">
        <v>315</v>
      </c>
      <c r="CQ1" s="61" t="s">
        <v>316</v>
      </c>
      <c r="CR1" s="61" t="s">
        <v>317</v>
      </c>
      <c r="CS1" s="61" t="s">
        <v>318</v>
      </c>
      <c r="CU1" s="60" t="s">
        <v>209</v>
      </c>
      <c r="CV1" s="60" t="s">
        <v>210</v>
      </c>
      <c r="CW1" s="60" t="s">
        <v>211</v>
      </c>
    </row>
    <row r="2" spans="1:101" ht="13" x14ac:dyDescent="0.35">
      <c r="A2" s="60" t="s">
        <v>212</v>
      </c>
      <c r="B2" s="62">
        <f>IFERROR(VLOOKUP(B$1,Summary!$B$4:$D$100,2,0),"")</f>
        <v>5</v>
      </c>
      <c r="C2" s="62" t="str">
        <f>IFERROR(VLOOKUP(C$1,Summary!$B$4:$D$100,2,0),"")</f>
        <v/>
      </c>
      <c r="D2" s="62">
        <f>IFERROR(VLOOKUP(D$1,Summary!$B$4:$D$100,2,0),"")</f>
        <v>4</v>
      </c>
      <c r="E2" s="62">
        <f>IFERROR(VLOOKUP(E$1,Summary!$B$4:$D$100,2,0),"")</f>
        <v>4</v>
      </c>
      <c r="F2" s="62">
        <f>IFERROR(VLOOKUP(F$1,Summary!$B$4:$D$100,2,0),"")</f>
        <v>2</v>
      </c>
      <c r="G2" s="62">
        <f>IFERROR(VLOOKUP(G$1,Summary!$B$4:$D$100,2,0),"")</f>
        <v>2</v>
      </c>
      <c r="H2" s="62">
        <f>IFERROR(VLOOKUP(H$1,Summary!$B$4:$D$100,2,0),"")</f>
        <v>2</v>
      </c>
      <c r="I2" s="62">
        <f>IFERROR(VLOOKUP(I$1,Summary!$B$4:$D$100,2,0),"")</f>
        <v>2</v>
      </c>
      <c r="J2" s="62">
        <f>IFERROR(VLOOKUP(J$1,Summary!$B$4:$D$100,2,0),"")</f>
        <v>1</v>
      </c>
      <c r="K2" s="62">
        <f>IFERROR(VLOOKUP(K$1,Summary!$B$4:$D$100,2,0),"")</f>
        <v>3</v>
      </c>
      <c r="L2" s="62">
        <f>IFERROR(VLOOKUP(L$1,Summary!$B$4:$D$100,2,0),"")</f>
        <v>0</v>
      </c>
      <c r="M2" s="62" t="str">
        <f>IFERROR(VLOOKUP(M$1,Summary!$B$4:$D$100,2,0),"")</f>
        <v/>
      </c>
      <c r="N2" s="62">
        <f>IFERROR(VLOOKUP(N$1,Summary!$B$4:$D$100,2,0),"")</f>
        <v>7</v>
      </c>
      <c r="O2" s="62">
        <f>IFERROR(VLOOKUP(O$1,Summary!$B$4:$D$100,2,0),"")</f>
        <v>6</v>
      </c>
      <c r="P2" s="62">
        <f>IFERROR(VLOOKUP(P$1,Summary!$B$4:$D$100,2,0),"")</f>
        <v>4</v>
      </c>
      <c r="Q2" s="62">
        <f>IFERROR(VLOOKUP(Q$1,Summary!$B$4:$D$100,2,0),"")</f>
        <v>5</v>
      </c>
      <c r="R2" s="62" t="str">
        <f>IFERROR(VLOOKUP(R$1,Summary!$B$4:$D$100,2,0),"")</f>
        <v/>
      </c>
      <c r="S2" s="62">
        <f>IFERROR(VLOOKUP(S$1,Summary!$B$4:$D$100,2,0),"")</f>
        <v>0</v>
      </c>
      <c r="T2" s="62">
        <f>IFERROR(VLOOKUP(T$1,Summary!$B$4:$D$100,2,0),"")</f>
        <v>2</v>
      </c>
      <c r="U2" s="62">
        <f>IFERROR(VLOOKUP(U$1,Summary!$B$4:$D$100,2,0),"")</f>
        <v>4</v>
      </c>
      <c r="V2" s="62">
        <f>IFERROR(VLOOKUP(V$1,Summary!$B$4:$D$100,2,0),"")</f>
        <v>4</v>
      </c>
      <c r="W2" s="62">
        <f>IFERROR(VLOOKUP(W$1,Summary!$B$4:$D$100,2,0),"")</f>
        <v>8</v>
      </c>
      <c r="X2" s="62">
        <f>IFERROR(VLOOKUP(X$1,Summary!$B$4:$D$100,2,0),"")</f>
        <v>3</v>
      </c>
      <c r="Y2" s="62">
        <f>IFERROR(VLOOKUP(Y$1,Summary!$B$4:$D$100,2,0),"")</f>
        <v>4</v>
      </c>
      <c r="Z2" s="62">
        <f>IFERROR(VLOOKUP(Z$1,Summary!$B$4:$D$100,2,0),"")</f>
        <v>1</v>
      </c>
      <c r="AA2" s="62">
        <f>IFERROR(VLOOKUP(AA$1,Summary!$B$4:$D$100,2,0),"")</f>
        <v>1</v>
      </c>
      <c r="AB2" s="62" t="str">
        <f>IFERROR(VLOOKUP(AB$1,Summary!$B$4:$D$100,2,0),"")</f>
        <v/>
      </c>
      <c r="AC2" s="62">
        <f>IFERROR(VLOOKUP(AC$1,Summary!$B$4:$D$100,2,0),"")</f>
        <v>2</v>
      </c>
      <c r="AD2" s="62">
        <f>IFERROR(VLOOKUP(AD$1,Summary!$B$4:$D$100,2,0),"")</f>
        <v>0</v>
      </c>
      <c r="AE2" s="62">
        <f>IFERROR(VLOOKUP(AE$1,Summary!$B$4:$D$100,2,0),"")</f>
        <v>1</v>
      </c>
      <c r="AF2" s="62">
        <f>IFERROR(VLOOKUP(AF$1,Summary!$B$4:$D$100,2,0),"")</f>
        <v>2</v>
      </c>
      <c r="AG2" s="62">
        <f>IFERROR(VLOOKUP(AG$1,Summary!$B$4:$D$100,2,0),"")</f>
        <v>3</v>
      </c>
      <c r="AH2" s="62">
        <f>IFERROR(VLOOKUP(AH$1,Summary!$B$4:$D$100,2,0),"")</f>
        <v>0</v>
      </c>
      <c r="AI2" s="62">
        <f>IFERROR(VLOOKUP(AI$1,Summary!$B$4:$D$100,2,0),"")</f>
        <v>5</v>
      </c>
      <c r="AJ2" s="62">
        <f>IFERROR(VLOOKUP(AJ$1,Summary!$B$4:$D$100,2,0),"")</f>
        <v>4</v>
      </c>
      <c r="AK2" s="62">
        <f>IFERROR(VLOOKUP(AK$1,Summary!$B$4:$D$100,2,0),"")</f>
        <v>0</v>
      </c>
      <c r="AL2" s="62">
        <f>IFERROR(VLOOKUP(AL$1,Summary!$B$4:$D$100,2,0),"")</f>
        <v>0</v>
      </c>
      <c r="AM2" s="62">
        <f>IFERROR(VLOOKUP(AM$1,Summary!$B$4:$D$100,2,0),"")</f>
        <v>0</v>
      </c>
      <c r="AN2" s="62">
        <f>IFERROR(VLOOKUP(AN$1,Summary!$B$4:$D$100,2,0),"")</f>
        <v>2</v>
      </c>
      <c r="AO2" s="62" t="str">
        <f>IFERROR(VLOOKUP(AO$1,Summary!$B$4:$D$100,2,0),"")</f>
        <v/>
      </c>
      <c r="AP2" s="62">
        <f>IFERROR(VLOOKUP(AP$1,Summary!$B$4:$D$100,2,0),"")</f>
        <v>6</v>
      </c>
      <c r="AQ2" s="62">
        <f>IFERROR(VLOOKUP(AQ$1,Summary!$B$4:$D$100,2,0),"")</f>
        <v>1</v>
      </c>
      <c r="AR2" s="62">
        <f>IFERROR(VLOOKUP(AR$1,Summary!$B$4:$D$100,2,0),"")</f>
        <v>3</v>
      </c>
      <c r="AS2" s="62" t="str">
        <f>IFERROR(VLOOKUP(AS$1,Summary!$B$4:$D$100,2,0),"")</f>
        <v/>
      </c>
      <c r="AT2" s="62">
        <f>IFERROR(VLOOKUP(AT$1,Summary!$B$4:$D$100,2,0),"")</f>
        <v>1</v>
      </c>
      <c r="AU2" s="62">
        <f>IFERROR(VLOOKUP(AU$1,Summary!$B$4:$D$100,2,0),"")</f>
        <v>4</v>
      </c>
      <c r="AV2" s="62">
        <f>IFERROR(VLOOKUP(AV$1,Summary!$B$4:$D$100,2,0),"")</f>
        <v>1</v>
      </c>
      <c r="AW2" s="62">
        <f>IFERROR(VLOOKUP(AW$1,Summary!$B$4:$D$100,2,0),"")</f>
        <v>3</v>
      </c>
      <c r="AX2" s="62">
        <f>IFERROR(VLOOKUP(AX$1,Summary!$B$4:$D$100,2,0),"")</f>
        <v>1</v>
      </c>
      <c r="AY2" s="62">
        <f>IFERROR(VLOOKUP(AY$1,Summary!$B$4:$D$100,2,0),"")</f>
        <v>5</v>
      </c>
      <c r="AZ2" s="62">
        <f>IFERROR(VLOOKUP(AZ$1,Summary!$B$4:$D$100,2,0),"")</f>
        <v>3</v>
      </c>
      <c r="BA2" s="62">
        <f>IFERROR(VLOOKUP(BA$1,Summary!$B$4:$D$100,2,0),"")</f>
        <v>1</v>
      </c>
      <c r="BB2" s="62" t="str">
        <f>IFERROR(VLOOKUP(BB$1,Summary!$B$4:$D$100,2,0),"")</f>
        <v/>
      </c>
      <c r="BC2" s="62">
        <f>IFERROR(VLOOKUP(BC$1,Summary!$B$4:$D$100,2,0),"")</f>
        <v>1</v>
      </c>
      <c r="BD2" s="62">
        <f>IFERROR(VLOOKUP(BD$1,Summary!$B$4:$D$100,2,0),"")</f>
        <v>6</v>
      </c>
      <c r="BE2" s="62">
        <f>IFERROR(VLOOKUP(BE$1,Summary!$B$4:$D$100,2,0),"")</f>
        <v>2</v>
      </c>
      <c r="BF2" s="62">
        <f>IFERROR(VLOOKUP(BF$1,Summary!$B$4:$D$100,2,0),"")</f>
        <v>5</v>
      </c>
      <c r="BG2" s="62">
        <f>IFERROR(VLOOKUP(BG$1,Summary!$B$4:$D$100,2,0),"")</f>
        <v>1</v>
      </c>
      <c r="BH2" s="62">
        <f>IFERROR(VLOOKUP(BH$1,Summary!$B$4:$D$100,2,0),"")</f>
        <v>1</v>
      </c>
      <c r="BI2" s="62" t="str">
        <f>IFERROR(VLOOKUP(BI$1,Summary!$B$4:$D$100,2,0),"")</f>
        <v/>
      </c>
      <c r="BJ2" s="62">
        <f>IFERROR(VLOOKUP(BJ$1,Summary!$B$4:$D$100,2,0),"")</f>
        <v>1</v>
      </c>
      <c r="BK2" s="62">
        <f>IFERROR(VLOOKUP(BK$1,Summary!$B$4:$D$100,2,0),"")</f>
        <v>4</v>
      </c>
      <c r="BL2" s="62">
        <f>IFERROR(VLOOKUP(BL$1,Summary!$B$4:$D$100,2,0),"")</f>
        <v>4</v>
      </c>
      <c r="BM2" s="62">
        <f>IFERROR(VLOOKUP(BM$1,Summary!$B$4:$D$100,2,0),"")</f>
        <v>7</v>
      </c>
      <c r="BN2" s="62">
        <f>IFERROR(VLOOKUP(BN$1,Summary!$B$4:$D$100,2,0),"")</f>
        <v>7</v>
      </c>
      <c r="BO2" s="62">
        <f>IFERROR(VLOOKUP(BO$1,Summary!$B$4:$D$100,2,0),"")</f>
        <v>2</v>
      </c>
      <c r="BP2" s="62">
        <f>IFERROR(VLOOKUP(BP$1,Summary!$B$4:$D$100,2,0),"")</f>
        <v>2</v>
      </c>
      <c r="BQ2" s="62">
        <f>IFERROR(VLOOKUP(BQ$1,Summary!$B$4:$D$100,2,0),"")</f>
        <v>18</v>
      </c>
      <c r="BR2" s="62">
        <f>IFERROR(VLOOKUP(BR$1,Summary!$B$4:$D$100,2,0),"")</f>
        <v>2</v>
      </c>
      <c r="BS2" s="62">
        <f>IFERROR(VLOOKUP(BS$1,Summary!$B$4:$D$100,2,0),"")</f>
        <v>3</v>
      </c>
      <c r="BT2" s="62">
        <f>IFERROR(VLOOKUP(BT$1,Summary!$B$4:$D$100,2,0),"")</f>
        <v>1</v>
      </c>
      <c r="BU2" s="62">
        <f>IFERROR(VLOOKUP(BU$1,Summary!$B$4:$D$100,2,0),"")</f>
        <v>14</v>
      </c>
      <c r="BV2" s="62">
        <f>IFERROR(VLOOKUP(BV$1,Summary!$B$4:$D$100,2,0),"")</f>
        <v>0</v>
      </c>
      <c r="BW2" s="62">
        <f>IFERROR(VLOOKUP(BW$1,Summary!$B$4:$D$100,2,0),"")</f>
        <v>0</v>
      </c>
      <c r="BX2" s="62" t="str">
        <f>IFERROR(VLOOKUP(BX$1,Summary!$B$4:$D$100,2,0),"")</f>
        <v/>
      </c>
      <c r="BY2" s="62">
        <f>IFERROR(VLOOKUP(BY$1,Summary!$B$4:$D$100,2,0),"")</f>
        <v>1</v>
      </c>
      <c r="BZ2" s="62">
        <f>IFERROR(VLOOKUP(BZ$1,Summary!$B$4:$D$100,2,0),"")</f>
        <v>17</v>
      </c>
      <c r="CA2" s="62">
        <f>IFERROR(VLOOKUP(CA$1,Summary!$B$4:$D$100,2,0),"")</f>
        <v>4</v>
      </c>
      <c r="CB2" s="62">
        <f>IFERROR(VLOOKUP(CB$1,Summary!$B$4:$D$100,2,0),"")</f>
        <v>4</v>
      </c>
      <c r="CC2" s="62">
        <f>IFERROR(VLOOKUP(CC$1,Summary!$B$4:$D$100,2,0),"")</f>
        <v>3</v>
      </c>
      <c r="CD2" s="62">
        <f>IFERROR(VLOOKUP(CD$1,Summary!$B$4:$D$100,2,0),"")</f>
        <v>0</v>
      </c>
      <c r="CE2" s="62" t="str">
        <f>IFERROR(VLOOKUP(CE$1,Summary!$B$4:$D$100,2,0),"")</f>
        <v/>
      </c>
      <c r="CF2" s="62">
        <f>IFERROR(VLOOKUP(CF$1,Summary!$B$4:$D$100,2,0),"")</f>
        <v>3</v>
      </c>
      <c r="CG2" s="62">
        <f>IFERROR(VLOOKUP(CG$1,Summary!$B$4:$D$100,2,0),"")</f>
        <v>6</v>
      </c>
      <c r="CH2" s="62">
        <f>IFERROR(VLOOKUP(CH$1,Summary!$B$4:$D$100,2,0),"")</f>
        <v>0</v>
      </c>
      <c r="CI2" s="62">
        <f>IFERROR(VLOOKUP(CI$1,Summary!$B$4:$D$100,2,0),"")</f>
        <v>1</v>
      </c>
      <c r="CJ2" s="62">
        <f>IFERROR(VLOOKUP(CJ$1,Summary!$B$4:$D$100,2,0),"")</f>
        <v>3</v>
      </c>
      <c r="CK2" s="62" t="str">
        <f>IFERROR(VLOOKUP(CK$1,Summary!$B$4:$D$100,2,0),"")</f>
        <v/>
      </c>
      <c r="CL2" s="62">
        <f>IFERROR(VLOOKUP(CL$1,Summary!$B$4:$D$100,2,0),"")</f>
        <v>1</v>
      </c>
      <c r="CM2" s="62">
        <f>IFERROR(VLOOKUP(CM$1,Summary!$B$4:$D$100,2,0),"")</f>
        <v>4</v>
      </c>
      <c r="CN2" s="62" t="str">
        <f>IFERROR(VLOOKUP(CN$1,Summary!$B$4:$D$100,2,0),"")</f>
        <v/>
      </c>
      <c r="CO2" s="62">
        <f>IFERROR(VLOOKUP(CO$1,Summary!$B$4:$D$100,2,0),"")</f>
        <v>3</v>
      </c>
      <c r="CP2" s="62">
        <f>IFERROR(VLOOKUP(CP$1,Summary!$B$4:$D$100,2,0),"")</f>
        <v>3</v>
      </c>
      <c r="CQ2" s="62">
        <f>IFERROR(VLOOKUP(CQ$1,Summary!$B$4:$D$100,2,0),"")</f>
        <v>2</v>
      </c>
      <c r="CR2" s="62">
        <f>IFERROR(VLOOKUP(CR$1,Summary!$B$4:$D$100,2,0),"")</f>
        <v>2</v>
      </c>
      <c r="CS2" s="62">
        <f>IFERROR(VLOOKUP(CS$1,Summary!$B$4:$D$100,2,0),"")</f>
        <v>3</v>
      </c>
      <c r="CU2" s="63">
        <f t="shared" ref="CU2:CU13" si="0">AVERAGE(B2:CS2)</f>
        <v>3.1309523809523809</v>
      </c>
      <c r="CV2" s="63">
        <f t="shared" ref="CV2:CV13" si="1">_xlfn.STDEV.S(B2:CS2)</f>
        <v>3.2255746173609032</v>
      </c>
      <c r="CW2" s="63">
        <f>CV2/CU2</f>
        <v>1.0302215507920756</v>
      </c>
    </row>
    <row r="3" spans="1:101" ht="13" x14ac:dyDescent="0.35">
      <c r="A3" s="60" t="s">
        <v>213</v>
      </c>
      <c r="B3" s="62">
        <f>IFERROR(VLOOKUP(B$1,Summary!$B$4:$D$100,3,0),"")</f>
        <v>2</v>
      </c>
      <c r="C3" s="62" t="str">
        <f>IFERROR(VLOOKUP(C$1,Summary!$B$4:$D$100,3,0),"")</f>
        <v/>
      </c>
      <c r="D3" s="62">
        <f>IFERROR(VLOOKUP(D$1,Summary!$B$4:$D$100,3,0),"")</f>
        <v>5</v>
      </c>
      <c r="E3" s="62">
        <f>IFERROR(VLOOKUP(E$1,Summary!$B$4:$D$100,3,0),"")</f>
        <v>4</v>
      </c>
      <c r="F3" s="62">
        <f>IFERROR(VLOOKUP(F$1,Summary!$B$4:$D$100,3,0),"")</f>
        <v>1</v>
      </c>
      <c r="G3" s="62">
        <f>IFERROR(VLOOKUP(G$1,Summary!$B$4:$D$100,3,0),"")</f>
        <v>3</v>
      </c>
      <c r="H3" s="62">
        <f>IFERROR(VLOOKUP(H$1,Summary!$B$4:$D$100,3,0),"")</f>
        <v>5</v>
      </c>
      <c r="I3" s="62">
        <f>IFERROR(VLOOKUP(I$1,Summary!$B$4:$D$100,3,0),"")</f>
        <v>2</v>
      </c>
      <c r="J3" s="62">
        <f>IFERROR(VLOOKUP(J$1,Summary!$B$4:$D$100,3,0),"")</f>
        <v>0</v>
      </c>
      <c r="K3" s="62">
        <f>IFERROR(VLOOKUP(K$1,Summary!$B$4:$D$100,3,0),"")</f>
        <v>2</v>
      </c>
      <c r="L3" s="62">
        <f>IFERROR(VLOOKUP(L$1,Summary!$B$4:$D$100,3,0),"")</f>
        <v>1</v>
      </c>
      <c r="M3" s="62" t="str">
        <f>IFERROR(VLOOKUP(M$1,Summary!$B$4:$D$100,3,0),"")</f>
        <v/>
      </c>
      <c r="N3" s="62">
        <f>IFERROR(VLOOKUP(N$1,Summary!$B$4:$D$100,3,0),"")</f>
        <v>6</v>
      </c>
      <c r="O3" s="62">
        <f>IFERROR(VLOOKUP(O$1,Summary!$B$4:$D$100,3,0),"")</f>
        <v>2</v>
      </c>
      <c r="P3" s="62">
        <f>IFERROR(VLOOKUP(P$1,Summary!$B$4:$D$100,3,0),"")</f>
        <v>1</v>
      </c>
      <c r="Q3" s="62">
        <f>IFERROR(VLOOKUP(Q$1,Summary!$B$4:$D$100,3,0),"")</f>
        <v>5</v>
      </c>
      <c r="R3" s="62" t="str">
        <f>IFERROR(VLOOKUP(R$1,Summary!$B$4:$D$100,3,0),"")</f>
        <v/>
      </c>
      <c r="S3" s="62">
        <f>IFERROR(VLOOKUP(S$1,Summary!$B$4:$D$100,3,0),"")</f>
        <v>0</v>
      </c>
      <c r="T3" s="62">
        <f>IFERROR(VLOOKUP(T$1,Summary!$B$4:$D$100,3,0),"")</f>
        <v>4</v>
      </c>
      <c r="U3" s="62">
        <f>IFERROR(VLOOKUP(U$1,Summary!$B$4:$D$100,3,0),"")</f>
        <v>1</v>
      </c>
      <c r="V3" s="62">
        <f>IFERROR(VLOOKUP(V$1,Summary!$B$4:$D$100,3,0),"")</f>
        <v>5</v>
      </c>
      <c r="W3" s="62">
        <f>IFERROR(VLOOKUP(W$1,Summary!$B$4:$D$100,3,0),"")</f>
        <v>4</v>
      </c>
      <c r="X3" s="62">
        <f>IFERROR(VLOOKUP(X$1,Summary!$B$4:$D$100,3,0),"")</f>
        <v>1</v>
      </c>
      <c r="Y3" s="62">
        <f>IFERROR(VLOOKUP(Y$1,Summary!$B$4:$D$100,3,0),"")</f>
        <v>0</v>
      </c>
      <c r="Z3" s="62">
        <f>IFERROR(VLOOKUP(Z$1,Summary!$B$4:$D$100,3,0),"")</f>
        <v>3</v>
      </c>
      <c r="AA3" s="62">
        <f>IFERROR(VLOOKUP(AA$1,Summary!$B$4:$D$100,3,0),"")</f>
        <v>2</v>
      </c>
      <c r="AB3" s="62" t="str">
        <f>IFERROR(VLOOKUP(AB$1,Summary!$B$4:$D$100,3,0),"")</f>
        <v/>
      </c>
      <c r="AC3" s="62">
        <f>IFERROR(VLOOKUP(AC$1,Summary!$B$4:$D$100,3,0),"")</f>
        <v>3</v>
      </c>
      <c r="AD3" s="62">
        <f>IFERROR(VLOOKUP(AD$1,Summary!$B$4:$D$100,3,0),"")</f>
        <v>2</v>
      </c>
      <c r="AE3" s="62">
        <f>IFERROR(VLOOKUP(AE$1,Summary!$B$4:$D$100,3,0),"")</f>
        <v>0</v>
      </c>
      <c r="AF3" s="62">
        <f>IFERROR(VLOOKUP(AF$1,Summary!$B$4:$D$100,3,0),"")</f>
        <v>7</v>
      </c>
      <c r="AG3" s="62">
        <f>IFERROR(VLOOKUP(AG$1,Summary!$B$4:$D$100,3,0),"")</f>
        <v>1</v>
      </c>
      <c r="AH3" s="62">
        <f>IFERROR(VLOOKUP(AH$1,Summary!$B$4:$D$100,3,0),"")</f>
        <v>0</v>
      </c>
      <c r="AI3" s="62">
        <f>IFERROR(VLOOKUP(AI$1,Summary!$B$4:$D$100,3,0),"")</f>
        <v>2</v>
      </c>
      <c r="AJ3" s="62">
        <f>IFERROR(VLOOKUP(AJ$1,Summary!$B$4:$D$100,3,0),"")</f>
        <v>0</v>
      </c>
      <c r="AK3" s="62">
        <f>IFERROR(VLOOKUP(AK$1,Summary!$B$4:$D$100,3,0),"")</f>
        <v>0</v>
      </c>
      <c r="AL3" s="62">
        <f>IFERROR(VLOOKUP(AL$1,Summary!$B$4:$D$100,3,0),"")</f>
        <v>0</v>
      </c>
      <c r="AM3" s="62">
        <f>IFERROR(VLOOKUP(AM$1,Summary!$B$4:$D$100,3,0),"")</f>
        <v>4</v>
      </c>
      <c r="AN3" s="62">
        <f>IFERROR(VLOOKUP(AN$1,Summary!$B$4:$D$100,3,0),"")</f>
        <v>2</v>
      </c>
      <c r="AO3" s="62" t="str">
        <f>IFERROR(VLOOKUP(AO$1,Summary!$B$4:$D$100,3,0),"")</f>
        <v/>
      </c>
      <c r="AP3" s="62">
        <f>IFERROR(VLOOKUP(AP$1,Summary!$B$4:$D$100,3,0),"")</f>
        <v>0</v>
      </c>
      <c r="AQ3" s="62">
        <f>IFERROR(VLOOKUP(AQ$1,Summary!$B$4:$D$100,3,0),"")</f>
        <v>3</v>
      </c>
      <c r="AR3" s="62">
        <f>IFERROR(VLOOKUP(AR$1,Summary!$B$4:$D$100,3,0),"")</f>
        <v>1</v>
      </c>
      <c r="AS3" s="62" t="str">
        <f>IFERROR(VLOOKUP(AS$1,Summary!$B$4:$D$100,3,0),"")</f>
        <v/>
      </c>
      <c r="AT3" s="62">
        <f>IFERROR(VLOOKUP(AT$1,Summary!$B$4:$D$100,3,0),"")</f>
        <v>0</v>
      </c>
      <c r="AU3" s="62">
        <f>IFERROR(VLOOKUP(AU$1,Summary!$B$4:$D$100,3,0),"")</f>
        <v>1</v>
      </c>
      <c r="AV3" s="62">
        <f>IFERROR(VLOOKUP(AV$1,Summary!$B$4:$D$100,3,0),"")</f>
        <v>0</v>
      </c>
      <c r="AW3" s="62">
        <f>IFERROR(VLOOKUP(AW$1,Summary!$B$4:$D$100,3,0),"")</f>
        <v>1</v>
      </c>
      <c r="AX3" s="62">
        <f>IFERROR(VLOOKUP(AX$1,Summary!$B$4:$D$100,3,0),"")</f>
        <v>1</v>
      </c>
      <c r="AY3" s="62">
        <f>IFERROR(VLOOKUP(AY$1,Summary!$B$4:$D$100,3,0),"")</f>
        <v>0</v>
      </c>
      <c r="AZ3" s="62">
        <f>IFERROR(VLOOKUP(AZ$1,Summary!$B$4:$D$100,3,0),"")</f>
        <v>6</v>
      </c>
      <c r="BA3" s="62">
        <f>IFERROR(VLOOKUP(BA$1,Summary!$B$4:$D$100,3,0),"")</f>
        <v>1</v>
      </c>
      <c r="BB3" s="62" t="str">
        <f>IFERROR(VLOOKUP(BB$1,Summary!$B$4:$D$100,3,0),"")</f>
        <v/>
      </c>
      <c r="BC3" s="62">
        <f>IFERROR(VLOOKUP(BC$1,Summary!$B$4:$D$100,3,0),"")</f>
        <v>2</v>
      </c>
      <c r="BD3" s="62">
        <f>IFERROR(VLOOKUP(BD$1,Summary!$B$4:$D$100,3,0),"")</f>
        <v>6</v>
      </c>
      <c r="BE3" s="62">
        <f>IFERROR(VLOOKUP(BE$1,Summary!$B$4:$D$100,3,0),"")</f>
        <v>3</v>
      </c>
      <c r="BF3" s="62">
        <f>IFERROR(VLOOKUP(BF$1,Summary!$B$4:$D$100,3,0),"")</f>
        <v>3</v>
      </c>
      <c r="BG3" s="62">
        <f>IFERROR(VLOOKUP(BG$1,Summary!$B$4:$D$100,3,0),"")</f>
        <v>1</v>
      </c>
      <c r="BH3" s="62">
        <f>IFERROR(VLOOKUP(BH$1,Summary!$B$4:$D$100,3,0),"")</f>
        <v>0</v>
      </c>
      <c r="BI3" s="62" t="str">
        <f>IFERROR(VLOOKUP(BI$1,Summary!$B$4:$D$100,3,0),"")</f>
        <v/>
      </c>
      <c r="BJ3" s="62">
        <f>IFERROR(VLOOKUP(BJ$1,Summary!$B$4:$D$100,3,0),"")</f>
        <v>3</v>
      </c>
      <c r="BK3" s="62">
        <f>IFERROR(VLOOKUP(BK$1,Summary!$B$4:$D$100,3,0),"")</f>
        <v>0</v>
      </c>
      <c r="BL3" s="62">
        <f>IFERROR(VLOOKUP(BL$1,Summary!$B$4:$D$100,3,0),"")</f>
        <v>2</v>
      </c>
      <c r="BM3" s="62">
        <f>IFERROR(VLOOKUP(BM$1,Summary!$B$4:$D$100,3,0),"")</f>
        <v>0</v>
      </c>
      <c r="BN3" s="62">
        <f>IFERROR(VLOOKUP(BN$1,Summary!$B$4:$D$100,3,0),"")</f>
        <v>0</v>
      </c>
      <c r="BO3" s="62">
        <f>IFERROR(VLOOKUP(BO$1,Summary!$B$4:$D$100,3,0),"")</f>
        <v>4</v>
      </c>
      <c r="BP3" s="62">
        <f>IFERROR(VLOOKUP(BP$1,Summary!$B$4:$D$100,3,0),"")</f>
        <v>3</v>
      </c>
      <c r="BQ3" s="62">
        <f>IFERROR(VLOOKUP(BQ$1,Summary!$B$4:$D$100,3,0),"")</f>
        <v>14</v>
      </c>
      <c r="BR3" s="62">
        <f>IFERROR(VLOOKUP(BR$1,Summary!$B$4:$D$100,3,0),"")</f>
        <v>3</v>
      </c>
      <c r="BS3" s="62">
        <f>IFERROR(VLOOKUP(BS$1,Summary!$B$4:$D$100,3,0),"")</f>
        <v>0</v>
      </c>
      <c r="BT3" s="62">
        <f>IFERROR(VLOOKUP(BT$1,Summary!$B$4:$D$100,3,0),"")</f>
        <v>3</v>
      </c>
      <c r="BU3" s="62">
        <f>IFERROR(VLOOKUP(BU$1,Summary!$B$4:$D$100,3,0),"")</f>
        <v>0</v>
      </c>
      <c r="BV3" s="62">
        <f>IFERROR(VLOOKUP(BV$1,Summary!$B$4:$D$100,3,0),"")</f>
        <v>1</v>
      </c>
      <c r="BW3" s="62">
        <f>IFERROR(VLOOKUP(BW$1,Summary!$B$4:$D$100,3,0),"")</f>
        <v>0</v>
      </c>
      <c r="BX3" s="62" t="str">
        <f>IFERROR(VLOOKUP(BX$1,Summary!$B$4:$D$100,3,0),"")</f>
        <v/>
      </c>
      <c r="BY3" s="62">
        <f>IFERROR(VLOOKUP(BY$1,Summary!$B$4:$D$100,3,0),"")</f>
        <v>2</v>
      </c>
      <c r="BZ3" s="62">
        <f>IFERROR(VLOOKUP(BZ$1,Summary!$B$4:$D$100,3,0),"")</f>
        <v>10</v>
      </c>
      <c r="CA3" s="62">
        <f>IFERROR(VLOOKUP(CA$1,Summary!$B$4:$D$100,3,0),"")</f>
        <v>4</v>
      </c>
      <c r="CB3" s="62">
        <f>IFERROR(VLOOKUP(CB$1,Summary!$B$4:$D$100,3,0),"")</f>
        <v>1</v>
      </c>
      <c r="CC3" s="62">
        <f>IFERROR(VLOOKUP(CC$1,Summary!$B$4:$D$100,3,0),"")</f>
        <v>0</v>
      </c>
      <c r="CD3" s="62">
        <f>IFERROR(VLOOKUP(CD$1,Summary!$B$4:$D$100,3,0),"")</f>
        <v>2</v>
      </c>
      <c r="CE3" s="62" t="str">
        <f>IFERROR(VLOOKUP(CE$1,Summary!$B$4:$D$100,3,0),"")</f>
        <v/>
      </c>
      <c r="CF3" s="62">
        <f>IFERROR(VLOOKUP(CF$1,Summary!$B$4:$D$100,3,0),"")</f>
        <v>2</v>
      </c>
      <c r="CG3" s="62">
        <f>IFERROR(VLOOKUP(CG$1,Summary!$B$4:$D$100,3,0),"")</f>
        <v>5</v>
      </c>
      <c r="CH3" s="62">
        <f>IFERROR(VLOOKUP(CH$1,Summary!$B$4:$D$100,3,0),"")</f>
        <v>1</v>
      </c>
      <c r="CI3" s="62">
        <f>IFERROR(VLOOKUP(CI$1,Summary!$B$4:$D$100,3,0),"")</f>
        <v>2</v>
      </c>
      <c r="CJ3" s="62">
        <f>IFERROR(VLOOKUP(CJ$1,Summary!$B$4:$D$100,3,0),"")</f>
        <v>4</v>
      </c>
      <c r="CK3" s="62" t="str">
        <f>IFERROR(VLOOKUP(CK$1,Summary!$B$4:$D$100,3,0),"")</f>
        <v/>
      </c>
      <c r="CL3" s="62">
        <f>IFERROR(VLOOKUP(CL$1,Summary!$B$4:$D$100,3,0),"")</f>
        <v>0</v>
      </c>
      <c r="CM3" s="62">
        <f>IFERROR(VLOOKUP(CM$1,Summary!$B$4:$D$100,3,0),"")</f>
        <v>2</v>
      </c>
      <c r="CN3" s="62" t="str">
        <f>IFERROR(VLOOKUP(CN$1,Summary!$B$4:$D$100,3,0),"")</f>
        <v/>
      </c>
      <c r="CO3" s="62">
        <f>IFERROR(VLOOKUP(CO$1,Summary!$B$4:$D$100,3,0),"")</f>
        <v>5</v>
      </c>
      <c r="CP3" s="62">
        <f>IFERROR(VLOOKUP(CP$1,Summary!$B$4:$D$100,3,0),"")</f>
        <v>1</v>
      </c>
      <c r="CQ3" s="62">
        <f>IFERROR(VLOOKUP(CQ$1,Summary!$B$4:$D$100,3,0),"")</f>
        <v>2</v>
      </c>
      <c r="CR3" s="62">
        <f>IFERROR(VLOOKUP(CR$1,Summary!$B$4:$D$100,3,0),"")</f>
        <v>1</v>
      </c>
      <c r="CS3" s="62">
        <f>IFERROR(VLOOKUP(CS$1,Summary!$B$4:$D$100,3,0),"")</f>
        <v>2</v>
      </c>
      <c r="CU3" s="63">
        <f t="shared" si="0"/>
        <v>2.2380952380952381</v>
      </c>
      <c r="CV3" s="63">
        <f t="shared" si="1"/>
        <v>2.3777028887068719</v>
      </c>
      <c r="CW3" s="63">
        <f t="shared" ref="CW3:CW28" si="2">CV3/CU3</f>
        <v>1.0623778864434958</v>
      </c>
    </row>
    <row r="4" spans="1:101" ht="13" x14ac:dyDescent="0.35">
      <c r="A4" s="60" t="s">
        <v>214</v>
      </c>
      <c r="CU4" s="63" t="e">
        <f t="shared" si="0"/>
        <v>#DIV/0!</v>
      </c>
      <c r="CV4" s="63" t="e">
        <f t="shared" si="1"/>
        <v>#DIV/0!</v>
      </c>
      <c r="CW4" s="63" t="e">
        <f t="shared" si="2"/>
        <v>#DIV/0!</v>
      </c>
    </row>
    <row r="5" spans="1:101" ht="13" x14ac:dyDescent="0.35">
      <c r="A5" s="60" t="s">
        <v>215</v>
      </c>
      <c r="CU5" s="63" t="e">
        <f t="shared" si="0"/>
        <v>#DIV/0!</v>
      </c>
      <c r="CV5" s="63" t="e">
        <f t="shared" si="1"/>
        <v>#DIV/0!</v>
      </c>
      <c r="CW5" s="63" t="e">
        <f t="shared" si="2"/>
        <v>#DIV/0!</v>
      </c>
    </row>
    <row r="6" spans="1:101" ht="13" x14ac:dyDescent="0.35">
      <c r="A6" s="60" t="s">
        <v>216</v>
      </c>
      <c r="CU6" s="63" t="e">
        <f t="shared" si="0"/>
        <v>#DIV/0!</v>
      </c>
      <c r="CV6" s="63" t="e">
        <f t="shared" si="1"/>
        <v>#DIV/0!</v>
      </c>
      <c r="CW6" s="63" t="e">
        <f t="shared" si="2"/>
        <v>#DIV/0!</v>
      </c>
    </row>
    <row r="7" spans="1:101" ht="13" x14ac:dyDescent="0.35">
      <c r="A7" s="60" t="s">
        <v>217</v>
      </c>
      <c r="CU7" s="63" t="e">
        <f t="shared" si="0"/>
        <v>#DIV/0!</v>
      </c>
      <c r="CV7" s="63" t="e">
        <f t="shared" si="1"/>
        <v>#DIV/0!</v>
      </c>
      <c r="CW7" s="63" t="e">
        <f t="shared" si="2"/>
        <v>#DIV/0!</v>
      </c>
    </row>
    <row r="8" spans="1:101" ht="13" x14ac:dyDescent="0.35">
      <c r="A8" s="60" t="s">
        <v>218</v>
      </c>
      <c r="CU8" s="63" t="e">
        <f t="shared" si="0"/>
        <v>#DIV/0!</v>
      </c>
      <c r="CV8" s="63" t="e">
        <f t="shared" si="1"/>
        <v>#DIV/0!</v>
      </c>
      <c r="CW8" s="63" t="e">
        <f t="shared" si="2"/>
        <v>#DIV/0!</v>
      </c>
    </row>
    <row r="9" spans="1:101" ht="13" x14ac:dyDescent="0.35">
      <c r="A9" s="60" t="s">
        <v>219</v>
      </c>
      <c r="CU9" s="63" t="e">
        <f t="shared" si="0"/>
        <v>#DIV/0!</v>
      </c>
      <c r="CV9" s="63" t="e">
        <f t="shared" si="1"/>
        <v>#DIV/0!</v>
      </c>
      <c r="CW9" s="63" t="e">
        <f t="shared" si="2"/>
        <v>#DIV/0!</v>
      </c>
    </row>
    <row r="10" spans="1:101" ht="13" x14ac:dyDescent="0.35">
      <c r="A10" s="60" t="s">
        <v>220</v>
      </c>
      <c r="CU10" s="63" t="e">
        <f t="shared" si="0"/>
        <v>#DIV/0!</v>
      </c>
      <c r="CV10" s="63" t="e">
        <f t="shared" si="1"/>
        <v>#DIV/0!</v>
      </c>
      <c r="CW10" s="63" t="e">
        <f t="shared" si="2"/>
        <v>#DIV/0!</v>
      </c>
    </row>
    <row r="11" spans="1:101" ht="13" x14ac:dyDescent="0.35">
      <c r="A11" s="60" t="s">
        <v>221</v>
      </c>
      <c r="CU11" s="63" t="e">
        <f t="shared" si="0"/>
        <v>#DIV/0!</v>
      </c>
      <c r="CV11" s="63" t="e">
        <f t="shared" si="1"/>
        <v>#DIV/0!</v>
      </c>
      <c r="CW11" s="63" t="e">
        <f t="shared" si="2"/>
        <v>#DIV/0!</v>
      </c>
    </row>
    <row r="12" spans="1:101" ht="13" x14ac:dyDescent="0.35">
      <c r="A12" s="60" t="s">
        <v>222</v>
      </c>
      <c r="CU12" s="63" t="e">
        <f t="shared" si="0"/>
        <v>#DIV/0!</v>
      </c>
      <c r="CV12" s="63" t="e">
        <f t="shared" si="1"/>
        <v>#DIV/0!</v>
      </c>
      <c r="CW12" s="63" t="e">
        <f t="shared" si="2"/>
        <v>#DIV/0!</v>
      </c>
    </row>
    <row r="13" spans="1:101" ht="13" x14ac:dyDescent="0.35">
      <c r="A13" s="60" t="s">
        <v>223</v>
      </c>
      <c r="CU13" s="63" t="e">
        <f t="shared" si="0"/>
        <v>#DIV/0!</v>
      </c>
      <c r="CV13" s="63" t="e">
        <f t="shared" si="1"/>
        <v>#DIV/0!</v>
      </c>
      <c r="CW13" s="63" t="e">
        <f t="shared" si="2"/>
        <v>#DIV/0!</v>
      </c>
    </row>
    <row r="14" spans="1:101" ht="6" customHeight="1" x14ac:dyDescent="0.35">
      <c r="A14" s="60"/>
      <c r="CU14" s="63"/>
      <c r="CV14" s="63"/>
      <c r="CW14" s="63"/>
    </row>
    <row r="15" spans="1:101" ht="14.5" x14ac:dyDescent="0.35">
      <c r="A15" s="60" t="s">
        <v>212</v>
      </c>
      <c r="B15" s="64">
        <f>B2/21</f>
        <v>0.23809523809523808</v>
      </c>
      <c r="C15" s="64" t="e">
        <f>C2/21</f>
        <v>#VALUE!</v>
      </c>
      <c r="D15" s="64">
        <f>D2/21</f>
        <v>0.19047619047619047</v>
      </c>
      <c r="E15" s="64">
        <f>E2/21</f>
        <v>0.19047619047619047</v>
      </c>
      <c r="F15" s="64">
        <f>F2/21</f>
        <v>9.5238095238095233E-2</v>
      </c>
      <c r="G15" s="64">
        <f>G2/21</f>
        <v>9.5238095238095233E-2</v>
      </c>
      <c r="H15" s="64">
        <f>H2/21</f>
        <v>9.5238095238095233E-2</v>
      </c>
      <c r="I15" s="64">
        <f>I2/21</f>
        <v>9.5238095238095233E-2</v>
      </c>
      <c r="J15" s="64">
        <f>J2/21</f>
        <v>4.7619047619047616E-2</v>
      </c>
      <c r="K15" s="64">
        <f>K2/21</f>
        <v>0.14285714285714285</v>
      </c>
      <c r="L15" s="64">
        <f>L2/21</f>
        <v>0</v>
      </c>
      <c r="M15" s="64" t="e">
        <f>M2/21</f>
        <v>#VALUE!</v>
      </c>
      <c r="N15" s="64">
        <f>N2/21</f>
        <v>0.33333333333333331</v>
      </c>
      <c r="O15" s="64">
        <f>O2/21</f>
        <v>0.2857142857142857</v>
      </c>
      <c r="P15" s="64">
        <f>P2/21</f>
        <v>0.19047619047619047</v>
      </c>
      <c r="Q15" s="64">
        <f>Q2/21</f>
        <v>0.23809523809523808</v>
      </c>
      <c r="R15" s="64" t="e">
        <f>R2/21</f>
        <v>#VALUE!</v>
      </c>
      <c r="S15" s="64">
        <f>S2/21</f>
        <v>0</v>
      </c>
      <c r="T15" s="64">
        <f>T2/21</f>
        <v>9.5238095238095233E-2</v>
      </c>
      <c r="U15" s="64">
        <f>U2/21</f>
        <v>0.19047619047619047</v>
      </c>
      <c r="V15" s="64">
        <f>V2/21</f>
        <v>0.19047619047619047</v>
      </c>
      <c r="W15" s="64">
        <f>W2/21</f>
        <v>0.38095238095238093</v>
      </c>
      <c r="X15" s="64">
        <f>X2/21</f>
        <v>0.14285714285714285</v>
      </c>
      <c r="Y15" s="64">
        <f>Y2/21</f>
        <v>0.19047619047619047</v>
      </c>
      <c r="Z15" s="64">
        <f>Z2/21</f>
        <v>4.7619047619047616E-2</v>
      </c>
      <c r="AA15" s="64">
        <f>AA2/21</f>
        <v>4.7619047619047616E-2</v>
      </c>
      <c r="AB15" s="64" t="e">
        <f>AB2/21</f>
        <v>#VALUE!</v>
      </c>
      <c r="AC15" s="64">
        <f>AC2/21</f>
        <v>9.5238095238095233E-2</v>
      </c>
      <c r="AD15" s="64">
        <f>AD2/21</f>
        <v>0</v>
      </c>
      <c r="AE15" s="64">
        <f>AE2/21</f>
        <v>4.7619047619047616E-2</v>
      </c>
      <c r="AF15" s="64">
        <f>AF2/21</f>
        <v>9.5238095238095233E-2</v>
      </c>
      <c r="AG15" s="64">
        <f>AG2/21</f>
        <v>0.14285714285714285</v>
      </c>
      <c r="AH15" s="64">
        <f>AH2/21</f>
        <v>0</v>
      </c>
      <c r="AI15" s="64">
        <f>AI2/21</f>
        <v>0.23809523809523808</v>
      </c>
      <c r="AJ15" s="64">
        <f>AJ2/21</f>
        <v>0.19047619047619047</v>
      </c>
      <c r="AK15" s="64">
        <f>AK2/21</f>
        <v>0</v>
      </c>
      <c r="AL15" s="64">
        <f>AL2/21</f>
        <v>0</v>
      </c>
      <c r="AM15" s="64">
        <f>AM2/21</f>
        <v>0</v>
      </c>
      <c r="AN15" s="64">
        <f>AN2/21</f>
        <v>9.5238095238095233E-2</v>
      </c>
      <c r="AO15" s="64" t="e">
        <f>AO2/21</f>
        <v>#VALUE!</v>
      </c>
      <c r="AP15" s="64">
        <f>AP2/21</f>
        <v>0.2857142857142857</v>
      </c>
      <c r="AQ15" s="64">
        <f>AQ2/21</f>
        <v>4.7619047619047616E-2</v>
      </c>
      <c r="AR15" s="64">
        <f>AR2/21</f>
        <v>0.14285714285714285</v>
      </c>
      <c r="AS15" s="64" t="e">
        <f>AS2/21</f>
        <v>#VALUE!</v>
      </c>
      <c r="AT15" s="64">
        <f>AT2/21</f>
        <v>4.7619047619047616E-2</v>
      </c>
      <c r="AU15" s="64">
        <f>AU2/21</f>
        <v>0.19047619047619047</v>
      </c>
      <c r="AV15" s="64">
        <f>AV2/21</f>
        <v>4.7619047619047616E-2</v>
      </c>
      <c r="AW15" s="64">
        <f>AW2/21</f>
        <v>0.14285714285714285</v>
      </c>
      <c r="AX15" s="64">
        <f>AX2/21</f>
        <v>4.7619047619047616E-2</v>
      </c>
      <c r="AY15" s="64">
        <f>AY2/21</f>
        <v>0.23809523809523808</v>
      </c>
      <c r="AZ15" s="64">
        <f>AZ2/21</f>
        <v>0.14285714285714285</v>
      </c>
      <c r="BA15" s="64">
        <f>BA2/21</f>
        <v>4.7619047619047616E-2</v>
      </c>
      <c r="BB15" s="64" t="e">
        <f>BB2/21</f>
        <v>#VALUE!</v>
      </c>
      <c r="BC15" s="64">
        <f>BC2/21</f>
        <v>4.7619047619047616E-2</v>
      </c>
      <c r="BD15" s="64">
        <f>BD2/21</f>
        <v>0.2857142857142857</v>
      </c>
      <c r="BE15" s="64">
        <f>BE2/21</f>
        <v>9.5238095238095233E-2</v>
      </c>
      <c r="BF15" s="64">
        <f>BF2/21</f>
        <v>0.23809523809523808</v>
      </c>
      <c r="BG15" s="64">
        <f>BG2/21</f>
        <v>4.7619047619047616E-2</v>
      </c>
      <c r="BH15" s="64">
        <f>BH2/21</f>
        <v>4.7619047619047616E-2</v>
      </c>
      <c r="BI15" s="64" t="e">
        <f>BI2/21</f>
        <v>#VALUE!</v>
      </c>
      <c r="BJ15" s="64">
        <f>BJ2/21</f>
        <v>4.7619047619047616E-2</v>
      </c>
      <c r="BK15" s="64">
        <f>BK2/21</f>
        <v>0.19047619047619047</v>
      </c>
      <c r="BL15" s="64">
        <f>BL2/21</f>
        <v>0.19047619047619047</v>
      </c>
      <c r="BM15" s="64">
        <f>BM2/21</f>
        <v>0.33333333333333331</v>
      </c>
      <c r="BN15" s="64">
        <f>BN2/21</f>
        <v>0.33333333333333331</v>
      </c>
      <c r="BO15" s="64">
        <f>BO2/21</f>
        <v>9.5238095238095233E-2</v>
      </c>
      <c r="BP15" s="64">
        <f>BP2/21</f>
        <v>9.5238095238095233E-2</v>
      </c>
      <c r="BQ15" s="64">
        <f>BQ2/21</f>
        <v>0.8571428571428571</v>
      </c>
      <c r="BR15" s="64">
        <f>BR2/21</f>
        <v>9.5238095238095233E-2</v>
      </c>
      <c r="BS15" s="64">
        <f>BS2/21</f>
        <v>0.14285714285714285</v>
      </c>
      <c r="BT15" s="64">
        <f>BT2/21</f>
        <v>4.7619047619047616E-2</v>
      </c>
      <c r="BU15" s="64">
        <f>BU2/21</f>
        <v>0.66666666666666663</v>
      </c>
      <c r="BV15" s="64">
        <f>BV2/21</f>
        <v>0</v>
      </c>
      <c r="BW15" s="64">
        <f>BW2/21</f>
        <v>0</v>
      </c>
      <c r="BX15" s="64" t="e">
        <f>BX2/21</f>
        <v>#VALUE!</v>
      </c>
      <c r="BY15" s="64">
        <f>BY2/21</f>
        <v>4.7619047619047616E-2</v>
      </c>
      <c r="BZ15" s="64">
        <f>BZ2/21</f>
        <v>0.80952380952380953</v>
      </c>
      <c r="CA15" s="64">
        <f>CA2/21</f>
        <v>0.19047619047619047</v>
      </c>
      <c r="CB15" s="64">
        <f>CB2/21</f>
        <v>0.19047619047619047</v>
      </c>
      <c r="CC15" s="64">
        <f>CC2/21</f>
        <v>0.14285714285714285</v>
      </c>
      <c r="CD15" s="64">
        <f>CD2/21</f>
        <v>0</v>
      </c>
      <c r="CE15" s="64" t="e">
        <f>CE2/21</f>
        <v>#VALUE!</v>
      </c>
      <c r="CF15" s="64">
        <f>CF2/21</f>
        <v>0.14285714285714285</v>
      </c>
      <c r="CG15" s="64">
        <f>CG2/21</f>
        <v>0.2857142857142857</v>
      </c>
      <c r="CH15" s="64">
        <f>CH2/21</f>
        <v>0</v>
      </c>
      <c r="CI15" s="64">
        <f>CI2/21</f>
        <v>4.7619047619047616E-2</v>
      </c>
      <c r="CJ15" s="64">
        <f>CJ2/21</f>
        <v>0.14285714285714285</v>
      </c>
      <c r="CK15" s="64" t="e">
        <f>CK2/21</f>
        <v>#VALUE!</v>
      </c>
      <c r="CL15" s="64">
        <f>CL2/21</f>
        <v>4.7619047619047616E-2</v>
      </c>
      <c r="CM15" s="64">
        <f>CM2/21</f>
        <v>0.19047619047619047</v>
      </c>
      <c r="CN15" s="64" t="e">
        <f>CN2/21</f>
        <v>#VALUE!</v>
      </c>
      <c r="CO15" s="64">
        <f>CO2/21</f>
        <v>0.14285714285714285</v>
      </c>
      <c r="CP15" s="64">
        <f>CP2/21</f>
        <v>0.14285714285714285</v>
      </c>
      <c r="CQ15" s="64">
        <f>CQ2/21</f>
        <v>9.5238095238095233E-2</v>
      </c>
      <c r="CR15" s="64">
        <f>CR2/21</f>
        <v>9.5238095238095233E-2</v>
      </c>
      <c r="CS15" s="64">
        <f>CS2/21</f>
        <v>0.14285714285714285</v>
      </c>
      <c r="CU15" s="64" t="e">
        <f>AVERAGE(B15:CS15)</f>
        <v>#VALUE!</v>
      </c>
      <c r="CW15" s="63"/>
    </row>
    <row r="16" spans="1:101" ht="14.5" x14ac:dyDescent="0.35">
      <c r="A16" s="60" t="s">
        <v>213</v>
      </c>
      <c r="B16" s="64">
        <f>B3/20</f>
        <v>0.1</v>
      </c>
      <c r="C16" s="64" t="e">
        <f>C3/20</f>
        <v>#VALUE!</v>
      </c>
      <c r="D16" s="64">
        <f>D3/20</f>
        <v>0.25</v>
      </c>
      <c r="E16" s="64">
        <f>E3/20</f>
        <v>0.2</v>
      </c>
      <c r="F16" s="64">
        <f>F3/20</f>
        <v>0.05</v>
      </c>
      <c r="G16" s="64">
        <f>G3/20</f>
        <v>0.15</v>
      </c>
      <c r="H16" s="64">
        <f>H3/20</f>
        <v>0.25</v>
      </c>
      <c r="I16" s="64">
        <f>I3/20</f>
        <v>0.1</v>
      </c>
      <c r="J16" s="64">
        <f>J3/20</f>
        <v>0</v>
      </c>
      <c r="K16" s="64">
        <f>K3/20</f>
        <v>0.1</v>
      </c>
      <c r="L16" s="64">
        <f>L3/20</f>
        <v>0.05</v>
      </c>
      <c r="M16" s="64" t="e">
        <f>M3/20</f>
        <v>#VALUE!</v>
      </c>
      <c r="N16" s="64">
        <f>N3/20</f>
        <v>0.3</v>
      </c>
      <c r="O16" s="64">
        <f>O3/20</f>
        <v>0.1</v>
      </c>
      <c r="P16" s="64">
        <f>P3/20</f>
        <v>0.05</v>
      </c>
      <c r="Q16" s="64">
        <f>Q3/20</f>
        <v>0.25</v>
      </c>
      <c r="R16" s="64" t="e">
        <f>R3/20</f>
        <v>#VALUE!</v>
      </c>
      <c r="S16" s="64">
        <f>S3/20</f>
        <v>0</v>
      </c>
      <c r="T16" s="64">
        <f>T3/20</f>
        <v>0.2</v>
      </c>
      <c r="U16" s="64">
        <f>U3/20</f>
        <v>0.05</v>
      </c>
      <c r="V16" s="64">
        <f>V3/20</f>
        <v>0.25</v>
      </c>
      <c r="W16" s="64">
        <f>W3/20</f>
        <v>0.2</v>
      </c>
      <c r="X16" s="64">
        <f>X3/20</f>
        <v>0.05</v>
      </c>
      <c r="Y16" s="64">
        <f>Y3/20</f>
        <v>0</v>
      </c>
      <c r="Z16" s="64">
        <f>Z3/20</f>
        <v>0.15</v>
      </c>
      <c r="AA16" s="64">
        <f>AA3/20</f>
        <v>0.1</v>
      </c>
      <c r="AB16" s="64" t="e">
        <f>AB3/20</f>
        <v>#VALUE!</v>
      </c>
      <c r="AC16" s="64">
        <f>AC3/20</f>
        <v>0.15</v>
      </c>
      <c r="AD16" s="64">
        <f>AD3/20</f>
        <v>0.1</v>
      </c>
      <c r="AE16" s="64">
        <f>AE3/20</f>
        <v>0</v>
      </c>
      <c r="AF16" s="64">
        <f>AF3/20</f>
        <v>0.35</v>
      </c>
      <c r="AG16" s="64">
        <f>AG3/20</f>
        <v>0.05</v>
      </c>
      <c r="AH16" s="64">
        <f>AH3/20</f>
        <v>0</v>
      </c>
      <c r="AI16" s="64">
        <f>AI3/20</f>
        <v>0.1</v>
      </c>
      <c r="AJ16" s="64">
        <f>AJ3/20</f>
        <v>0</v>
      </c>
      <c r="AK16" s="64">
        <f>AK3/20</f>
        <v>0</v>
      </c>
      <c r="AL16" s="64">
        <f>AL3/20</f>
        <v>0</v>
      </c>
      <c r="AM16" s="64">
        <f>AM3/20</f>
        <v>0.2</v>
      </c>
      <c r="AN16" s="64">
        <f>AN3/20</f>
        <v>0.1</v>
      </c>
      <c r="AO16" s="64" t="e">
        <f>AO3/20</f>
        <v>#VALUE!</v>
      </c>
      <c r="AP16" s="64">
        <f>AP3/20</f>
        <v>0</v>
      </c>
      <c r="AQ16" s="64">
        <f>AQ3/20</f>
        <v>0.15</v>
      </c>
      <c r="AR16" s="64">
        <f>AR3/20</f>
        <v>0.05</v>
      </c>
      <c r="AS16" s="64" t="e">
        <f>AS3/20</f>
        <v>#VALUE!</v>
      </c>
      <c r="AT16" s="64">
        <f>AT3/20</f>
        <v>0</v>
      </c>
      <c r="AU16" s="64">
        <f>AU3/20</f>
        <v>0.05</v>
      </c>
      <c r="AV16" s="64">
        <f>AV3/20</f>
        <v>0</v>
      </c>
      <c r="AW16" s="64">
        <f>AW3/20</f>
        <v>0.05</v>
      </c>
      <c r="AX16" s="64">
        <f>AX3/20</f>
        <v>0.05</v>
      </c>
      <c r="AY16" s="64">
        <f>AY3/20</f>
        <v>0</v>
      </c>
      <c r="AZ16" s="64">
        <f>AZ3/20</f>
        <v>0.3</v>
      </c>
      <c r="BA16" s="64">
        <f>BA3/20</f>
        <v>0.05</v>
      </c>
      <c r="BB16" s="64" t="e">
        <f>BB3/20</f>
        <v>#VALUE!</v>
      </c>
      <c r="BC16" s="64">
        <f>BC3/20</f>
        <v>0.1</v>
      </c>
      <c r="BD16" s="64">
        <f>BD3/20</f>
        <v>0.3</v>
      </c>
      <c r="BE16" s="64">
        <f>BE3/20</f>
        <v>0.15</v>
      </c>
      <c r="BF16" s="64">
        <f>BF3/20</f>
        <v>0.15</v>
      </c>
      <c r="BG16" s="64">
        <f>BG3/20</f>
        <v>0.05</v>
      </c>
      <c r="BH16" s="64">
        <f>BH3/20</f>
        <v>0</v>
      </c>
      <c r="BI16" s="64" t="e">
        <f>BI3/20</f>
        <v>#VALUE!</v>
      </c>
      <c r="BJ16" s="64">
        <f>BJ3/20</f>
        <v>0.15</v>
      </c>
      <c r="BK16" s="64">
        <f>BK3/20</f>
        <v>0</v>
      </c>
      <c r="BL16" s="64">
        <f>BL3/20</f>
        <v>0.1</v>
      </c>
      <c r="BM16" s="64">
        <f>BM3/20</f>
        <v>0</v>
      </c>
      <c r="BN16" s="64">
        <f>BN3/20</f>
        <v>0</v>
      </c>
      <c r="BO16" s="64">
        <f>BO3/20</f>
        <v>0.2</v>
      </c>
      <c r="BP16" s="64">
        <f>BP3/20</f>
        <v>0.15</v>
      </c>
      <c r="BQ16" s="64">
        <f>BQ3/20</f>
        <v>0.7</v>
      </c>
      <c r="BR16" s="64">
        <f>BR3/20</f>
        <v>0.15</v>
      </c>
      <c r="BS16" s="64">
        <f>BS3/20</f>
        <v>0</v>
      </c>
      <c r="BT16" s="64">
        <f>BT3/20</f>
        <v>0.15</v>
      </c>
      <c r="BU16" s="64">
        <f>BU3/20</f>
        <v>0</v>
      </c>
      <c r="BV16" s="64">
        <f>BV3/20</f>
        <v>0.05</v>
      </c>
      <c r="BW16" s="64">
        <f>BW3/20</f>
        <v>0</v>
      </c>
      <c r="BX16" s="64" t="e">
        <f>BX3/20</f>
        <v>#VALUE!</v>
      </c>
      <c r="BY16" s="64">
        <f>BY3/20</f>
        <v>0.1</v>
      </c>
      <c r="BZ16" s="64">
        <f>BZ3/20</f>
        <v>0.5</v>
      </c>
      <c r="CA16" s="64">
        <f>CA3/20</f>
        <v>0.2</v>
      </c>
      <c r="CB16" s="64">
        <f>CB3/20</f>
        <v>0.05</v>
      </c>
      <c r="CC16" s="64">
        <f>CC3/20</f>
        <v>0</v>
      </c>
      <c r="CD16" s="64">
        <f>CD3/20</f>
        <v>0.1</v>
      </c>
      <c r="CE16" s="64" t="e">
        <f>CE3/20</f>
        <v>#VALUE!</v>
      </c>
      <c r="CF16" s="64">
        <f>CF3/20</f>
        <v>0.1</v>
      </c>
      <c r="CG16" s="64">
        <f>CG3/20</f>
        <v>0.25</v>
      </c>
      <c r="CH16" s="64">
        <f>CH3/20</f>
        <v>0.05</v>
      </c>
      <c r="CI16" s="64">
        <f>CI3/20</f>
        <v>0.1</v>
      </c>
      <c r="CJ16" s="64">
        <f>CJ3/20</f>
        <v>0.2</v>
      </c>
      <c r="CK16" s="64" t="e">
        <f>CK3/20</f>
        <v>#VALUE!</v>
      </c>
      <c r="CL16" s="64">
        <f>CL3/20</f>
        <v>0</v>
      </c>
      <c r="CM16" s="64">
        <f>CM3/20</f>
        <v>0.1</v>
      </c>
      <c r="CN16" s="64" t="e">
        <f>CN3/20</f>
        <v>#VALUE!</v>
      </c>
      <c r="CO16" s="64">
        <f>CO3/20</f>
        <v>0.25</v>
      </c>
      <c r="CP16" s="64">
        <f>CP3/20</f>
        <v>0.05</v>
      </c>
      <c r="CQ16" s="64">
        <f>CQ3/20</f>
        <v>0.1</v>
      </c>
      <c r="CR16" s="64">
        <f>CR3/20</f>
        <v>0.05</v>
      </c>
      <c r="CS16" s="64">
        <f>CS3/20</f>
        <v>0.1</v>
      </c>
      <c r="CU16" s="64" t="e">
        <f>AVERAGE(B16:CS16)</f>
        <v>#VALUE!</v>
      </c>
      <c r="CW16" s="63"/>
    </row>
    <row r="17" spans="1:101" ht="14.5" x14ac:dyDescent="0.35">
      <c r="A17" s="60" t="s">
        <v>214</v>
      </c>
      <c r="B17" s="64">
        <f>B4/23</f>
        <v>0</v>
      </c>
      <c r="C17" s="64">
        <f>C4/23</f>
        <v>0</v>
      </c>
      <c r="D17" s="64">
        <f>D4/23</f>
        <v>0</v>
      </c>
      <c r="E17" s="64">
        <f>E4/23</f>
        <v>0</v>
      </c>
      <c r="F17" s="64">
        <f>F4/23</f>
        <v>0</v>
      </c>
      <c r="G17" s="64">
        <f>G4/23</f>
        <v>0</v>
      </c>
      <c r="H17" s="64">
        <f>H4/23</f>
        <v>0</v>
      </c>
      <c r="I17" s="64">
        <f>I4/23</f>
        <v>0</v>
      </c>
      <c r="J17" s="64">
        <f>J4/23</f>
        <v>0</v>
      </c>
      <c r="K17" s="64">
        <f>K4/23</f>
        <v>0</v>
      </c>
      <c r="L17" s="64">
        <f>L4/23</f>
        <v>0</v>
      </c>
      <c r="M17" s="64">
        <f>M4/23</f>
        <v>0</v>
      </c>
      <c r="N17" s="64">
        <f>N4/23</f>
        <v>0</v>
      </c>
      <c r="O17" s="64">
        <f>O4/23</f>
        <v>0</v>
      </c>
      <c r="P17" s="64">
        <f>P4/23</f>
        <v>0</v>
      </c>
      <c r="Q17" s="64">
        <f>Q4/23</f>
        <v>0</v>
      </c>
      <c r="R17" s="64">
        <f>R4/23</f>
        <v>0</v>
      </c>
      <c r="S17" s="64">
        <f>S4/23</f>
        <v>0</v>
      </c>
      <c r="T17" s="64">
        <f>T4/23</f>
        <v>0</v>
      </c>
      <c r="U17" s="64">
        <f>U4/23</f>
        <v>0</v>
      </c>
      <c r="V17" s="64">
        <f>V4/23</f>
        <v>0</v>
      </c>
      <c r="W17" s="64">
        <f>W4/23</f>
        <v>0</v>
      </c>
      <c r="X17" s="64">
        <f>X4/23</f>
        <v>0</v>
      </c>
      <c r="Y17" s="64">
        <f>Y4/23</f>
        <v>0</v>
      </c>
      <c r="Z17" s="64">
        <f>Z4/23</f>
        <v>0</v>
      </c>
      <c r="AA17" s="64">
        <f>AA4/23</f>
        <v>0</v>
      </c>
      <c r="AB17" s="64">
        <f>AB4/23</f>
        <v>0</v>
      </c>
      <c r="AC17" s="64">
        <f>AC4/23</f>
        <v>0</v>
      </c>
      <c r="AD17" s="64">
        <f>AD4/23</f>
        <v>0</v>
      </c>
      <c r="AE17" s="64">
        <f>AE4/23</f>
        <v>0</v>
      </c>
      <c r="AF17" s="64">
        <f>AF4/23</f>
        <v>0</v>
      </c>
      <c r="AG17" s="64">
        <f>AG4/23</f>
        <v>0</v>
      </c>
      <c r="AH17" s="64">
        <f>AH4/23</f>
        <v>0</v>
      </c>
      <c r="AI17" s="64">
        <f>AI4/23</f>
        <v>0</v>
      </c>
      <c r="AJ17" s="64">
        <f>AJ4/23</f>
        <v>0</v>
      </c>
      <c r="AK17" s="64">
        <f>AK4/23</f>
        <v>0</v>
      </c>
      <c r="AL17" s="64">
        <f>AL4/23</f>
        <v>0</v>
      </c>
      <c r="AM17" s="64">
        <f>AM4/23</f>
        <v>0</v>
      </c>
      <c r="AN17" s="64">
        <f>AN4/23</f>
        <v>0</v>
      </c>
      <c r="AO17" s="64">
        <f>AO4/23</f>
        <v>0</v>
      </c>
      <c r="AP17" s="64">
        <f>AP4/23</f>
        <v>0</v>
      </c>
      <c r="AQ17" s="64">
        <f>AQ4/23</f>
        <v>0</v>
      </c>
      <c r="AR17" s="64">
        <f>AR4/23</f>
        <v>0</v>
      </c>
      <c r="AS17" s="64">
        <f>AS4/23</f>
        <v>0</v>
      </c>
      <c r="AT17" s="64">
        <f>AT4/23</f>
        <v>0</v>
      </c>
      <c r="AU17" s="64">
        <f>AU4/23</f>
        <v>0</v>
      </c>
      <c r="AV17" s="64">
        <f>AV4/23</f>
        <v>0</v>
      </c>
      <c r="AW17" s="64">
        <f>AW4/23</f>
        <v>0</v>
      </c>
      <c r="AX17" s="64">
        <f>AX4/23</f>
        <v>0</v>
      </c>
      <c r="AY17" s="64">
        <f>AY4/23</f>
        <v>0</v>
      </c>
      <c r="AZ17" s="64">
        <f>AZ4/23</f>
        <v>0</v>
      </c>
      <c r="BA17" s="64">
        <f>BA4/23</f>
        <v>0</v>
      </c>
      <c r="BB17" s="64">
        <f>BB4/23</f>
        <v>0</v>
      </c>
      <c r="BC17" s="64">
        <f>BC4/23</f>
        <v>0</v>
      </c>
      <c r="BD17" s="64">
        <f>BD4/23</f>
        <v>0</v>
      </c>
      <c r="BE17" s="64">
        <f>BE4/23</f>
        <v>0</v>
      </c>
      <c r="BF17" s="64">
        <f>BF4/23</f>
        <v>0</v>
      </c>
      <c r="BG17" s="64">
        <f>BG4/23</f>
        <v>0</v>
      </c>
      <c r="BH17" s="64">
        <f>BH4/23</f>
        <v>0</v>
      </c>
      <c r="BI17" s="64">
        <f>BI4/23</f>
        <v>0</v>
      </c>
      <c r="BJ17" s="64">
        <f>BJ4/23</f>
        <v>0</v>
      </c>
      <c r="BK17" s="64">
        <f>BK4/23</f>
        <v>0</v>
      </c>
      <c r="BL17" s="64">
        <f>BL4/23</f>
        <v>0</v>
      </c>
      <c r="BM17" s="64">
        <f>BM4/23</f>
        <v>0</v>
      </c>
      <c r="BN17" s="64">
        <f>BN4/23</f>
        <v>0</v>
      </c>
      <c r="BO17" s="64">
        <f>BO4/23</f>
        <v>0</v>
      </c>
      <c r="BP17" s="64">
        <f>BP4/23</f>
        <v>0</v>
      </c>
      <c r="BQ17" s="64">
        <f>BQ4/23</f>
        <v>0</v>
      </c>
      <c r="BR17" s="64">
        <f>BR4/23</f>
        <v>0</v>
      </c>
      <c r="BS17" s="64">
        <f>BS4/23</f>
        <v>0</v>
      </c>
      <c r="BT17" s="64">
        <f>BT4/23</f>
        <v>0</v>
      </c>
      <c r="BU17" s="64">
        <f>BU4/23</f>
        <v>0</v>
      </c>
      <c r="BV17" s="64">
        <f>BV4/23</f>
        <v>0</v>
      </c>
      <c r="BW17" s="64">
        <f>BW4/23</f>
        <v>0</v>
      </c>
      <c r="BX17" s="64">
        <f>BX4/23</f>
        <v>0</v>
      </c>
      <c r="BY17" s="64">
        <f>BY4/23</f>
        <v>0</v>
      </c>
      <c r="BZ17" s="64">
        <f>BZ4/23</f>
        <v>0</v>
      </c>
      <c r="CA17" s="64">
        <f>CA4/23</f>
        <v>0</v>
      </c>
      <c r="CB17" s="64">
        <f>CB4/23</f>
        <v>0</v>
      </c>
      <c r="CC17" s="64">
        <f>CC4/23</f>
        <v>0</v>
      </c>
      <c r="CD17" s="64">
        <f>CD4/23</f>
        <v>0</v>
      </c>
      <c r="CE17" s="64">
        <f>CE4/23</f>
        <v>0</v>
      </c>
      <c r="CF17" s="64">
        <f>CF4/23</f>
        <v>0</v>
      </c>
      <c r="CG17" s="64">
        <f>CG4/23</f>
        <v>0</v>
      </c>
      <c r="CH17" s="64">
        <f>CH4/23</f>
        <v>0</v>
      </c>
      <c r="CI17" s="64">
        <f>CI4/23</f>
        <v>0</v>
      </c>
      <c r="CJ17" s="64">
        <f>CJ4/23</f>
        <v>0</v>
      </c>
      <c r="CK17" s="64">
        <f>CK4/23</f>
        <v>0</v>
      </c>
      <c r="CL17" s="64">
        <f>CL4/23</f>
        <v>0</v>
      </c>
      <c r="CM17" s="64">
        <f>CM4/23</f>
        <v>0</v>
      </c>
      <c r="CN17" s="64">
        <f>CN4/23</f>
        <v>0</v>
      </c>
      <c r="CO17" s="64">
        <f>CO4/23</f>
        <v>0</v>
      </c>
      <c r="CP17" s="64">
        <f>CP4/23</f>
        <v>0</v>
      </c>
      <c r="CQ17" s="64">
        <f>CQ4/23</f>
        <v>0</v>
      </c>
      <c r="CR17" s="64">
        <f>CR4/23</f>
        <v>0</v>
      </c>
      <c r="CS17" s="64">
        <f>CS4/23</f>
        <v>0</v>
      </c>
      <c r="CU17" s="64">
        <f>AVERAGE(B17:CS17)</f>
        <v>0</v>
      </c>
      <c r="CW17" s="63"/>
    </row>
    <row r="18" spans="1:101" ht="14.5" x14ac:dyDescent="0.35">
      <c r="A18" s="60" t="s">
        <v>215</v>
      </c>
      <c r="B18" s="64">
        <f>B5/21</f>
        <v>0</v>
      </c>
      <c r="C18" s="64">
        <f>C5/21</f>
        <v>0</v>
      </c>
      <c r="D18" s="64">
        <f>D5/21</f>
        <v>0</v>
      </c>
      <c r="E18" s="64">
        <f>E5/21</f>
        <v>0</v>
      </c>
      <c r="F18" s="64">
        <f>F5/21</f>
        <v>0</v>
      </c>
      <c r="G18" s="64">
        <f>G5/21</f>
        <v>0</v>
      </c>
      <c r="H18" s="64">
        <f>H5/21</f>
        <v>0</v>
      </c>
      <c r="I18" s="64">
        <f>I5/21</f>
        <v>0</v>
      </c>
      <c r="J18" s="64">
        <f>J5/21</f>
        <v>0</v>
      </c>
      <c r="K18" s="64">
        <f>K5/21</f>
        <v>0</v>
      </c>
      <c r="L18" s="64">
        <f>L5/21</f>
        <v>0</v>
      </c>
      <c r="M18" s="64">
        <f>M5/21</f>
        <v>0</v>
      </c>
      <c r="N18" s="64">
        <f>N5/21</f>
        <v>0</v>
      </c>
      <c r="O18" s="64">
        <f>O5/21</f>
        <v>0</v>
      </c>
      <c r="P18" s="64">
        <f>P5/21</f>
        <v>0</v>
      </c>
      <c r="Q18" s="64">
        <f>Q5/21</f>
        <v>0</v>
      </c>
      <c r="R18" s="64">
        <f>R5/21</f>
        <v>0</v>
      </c>
      <c r="S18" s="64">
        <f>S5/21</f>
        <v>0</v>
      </c>
      <c r="T18" s="64">
        <f>T5/21</f>
        <v>0</v>
      </c>
      <c r="U18" s="64">
        <f>U5/21</f>
        <v>0</v>
      </c>
      <c r="V18" s="64">
        <f>V5/21</f>
        <v>0</v>
      </c>
      <c r="W18" s="64">
        <f>W5/21</f>
        <v>0</v>
      </c>
      <c r="X18" s="64">
        <f>X5/21</f>
        <v>0</v>
      </c>
      <c r="Y18" s="64">
        <f>Y5/21</f>
        <v>0</v>
      </c>
      <c r="Z18" s="64">
        <f>Z5/21</f>
        <v>0</v>
      </c>
      <c r="AA18" s="64">
        <f>AA5/21</f>
        <v>0</v>
      </c>
      <c r="AB18" s="64">
        <f>AB5/21</f>
        <v>0</v>
      </c>
      <c r="AC18" s="64">
        <f>AC5/21</f>
        <v>0</v>
      </c>
      <c r="AD18" s="64">
        <f>AD5/21</f>
        <v>0</v>
      </c>
      <c r="AE18" s="64">
        <f>AE5/21</f>
        <v>0</v>
      </c>
      <c r="AF18" s="64">
        <f>AF5/21</f>
        <v>0</v>
      </c>
      <c r="AG18" s="64">
        <f>AG5/21</f>
        <v>0</v>
      </c>
      <c r="AH18" s="64">
        <f>AH5/21</f>
        <v>0</v>
      </c>
      <c r="AI18" s="64">
        <f>AI5/21</f>
        <v>0</v>
      </c>
      <c r="AJ18" s="64">
        <f>AJ5/21</f>
        <v>0</v>
      </c>
      <c r="AK18" s="64">
        <f>AK5/21</f>
        <v>0</v>
      </c>
      <c r="AL18" s="64">
        <f>AL5/21</f>
        <v>0</v>
      </c>
      <c r="AM18" s="64">
        <f>AM5/21</f>
        <v>0</v>
      </c>
      <c r="AN18" s="64">
        <f>AN5/21</f>
        <v>0</v>
      </c>
      <c r="AO18" s="64">
        <f>AO5/21</f>
        <v>0</v>
      </c>
      <c r="AP18" s="64">
        <f>AP5/21</f>
        <v>0</v>
      </c>
      <c r="AQ18" s="64">
        <f>AQ5/21</f>
        <v>0</v>
      </c>
      <c r="AR18" s="64">
        <f>AR5/21</f>
        <v>0</v>
      </c>
      <c r="AS18" s="64">
        <f>AS5/21</f>
        <v>0</v>
      </c>
      <c r="AT18" s="64">
        <f>AT5/21</f>
        <v>0</v>
      </c>
      <c r="AU18" s="64">
        <f>AU5/21</f>
        <v>0</v>
      </c>
      <c r="AV18" s="64">
        <f>AV5/21</f>
        <v>0</v>
      </c>
      <c r="AW18" s="64">
        <f>AW5/21</f>
        <v>0</v>
      </c>
      <c r="AX18" s="64">
        <f>AX5/21</f>
        <v>0</v>
      </c>
      <c r="AY18" s="64">
        <f>AY5/21</f>
        <v>0</v>
      </c>
      <c r="AZ18" s="64">
        <f>AZ5/21</f>
        <v>0</v>
      </c>
      <c r="BA18" s="64">
        <f>BA5/21</f>
        <v>0</v>
      </c>
      <c r="BB18" s="64">
        <f>BB5/21</f>
        <v>0</v>
      </c>
      <c r="BC18" s="64">
        <f>BC5/21</f>
        <v>0</v>
      </c>
      <c r="BD18" s="64">
        <f>BD5/21</f>
        <v>0</v>
      </c>
      <c r="BE18" s="64">
        <f>BE5/21</f>
        <v>0</v>
      </c>
      <c r="BF18" s="64">
        <f>BF5/21</f>
        <v>0</v>
      </c>
      <c r="BG18" s="64">
        <f>BG5/21</f>
        <v>0</v>
      </c>
      <c r="BH18" s="64">
        <f>BH5/21</f>
        <v>0</v>
      </c>
      <c r="BI18" s="64">
        <f>BI5/21</f>
        <v>0</v>
      </c>
      <c r="BJ18" s="64">
        <f>BJ5/21</f>
        <v>0</v>
      </c>
      <c r="BK18" s="64">
        <f>BK5/21</f>
        <v>0</v>
      </c>
      <c r="BL18" s="64">
        <f>BL5/21</f>
        <v>0</v>
      </c>
      <c r="BM18" s="64">
        <f>BM5/21</f>
        <v>0</v>
      </c>
      <c r="BN18" s="64">
        <f>BN5/21</f>
        <v>0</v>
      </c>
      <c r="BO18" s="64">
        <f>BO5/21</f>
        <v>0</v>
      </c>
      <c r="BP18" s="64">
        <f>BP5/21</f>
        <v>0</v>
      </c>
      <c r="BQ18" s="64">
        <f>BQ5/21</f>
        <v>0</v>
      </c>
      <c r="BR18" s="64">
        <f>BR5/21</f>
        <v>0</v>
      </c>
      <c r="BS18" s="64">
        <f>BS5/21</f>
        <v>0</v>
      </c>
      <c r="BT18" s="64">
        <f>BT5/21</f>
        <v>0</v>
      </c>
      <c r="BU18" s="64">
        <f>BU5/21</f>
        <v>0</v>
      </c>
      <c r="BV18" s="64">
        <f>BV5/21</f>
        <v>0</v>
      </c>
      <c r="BW18" s="64">
        <f>BW5/21</f>
        <v>0</v>
      </c>
      <c r="BX18" s="64">
        <f>BX5/21</f>
        <v>0</v>
      </c>
      <c r="BY18" s="64">
        <f>BY5/21</f>
        <v>0</v>
      </c>
      <c r="BZ18" s="64">
        <f>BZ5/21</f>
        <v>0</v>
      </c>
      <c r="CA18" s="64">
        <f>CA5/21</f>
        <v>0</v>
      </c>
      <c r="CB18" s="64">
        <f>CB5/21</f>
        <v>0</v>
      </c>
      <c r="CC18" s="64">
        <f>CC5/21</f>
        <v>0</v>
      </c>
      <c r="CD18" s="64">
        <f>CD5/21</f>
        <v>0</v>
      </c>
      <c r="CE18" s="64">
        <f>CE5/21</f>
        <v>0</v>
      </c>
      <c r="CF18" s="64">
        <f>CF5/21</f>
        <v>0</v>
      </c>
      <c r="CG18" s="64">
        <f>CG5/21</f>
        <v>0</v>
      </c>
      <c r="CH18" s="64">
        <f>CH5/21</f>
        <v>0</v>
      </c>
      <c r="CI18" s="64">
        <f>CI5/21</f>
        <v>0</v>
      </c>
      <c r="CJ18" s="64">
        <f>CJ5/21</f>
        <v>0</v>
      </c>
      <c r="CK18" s="64">
        <f>CK5/21</f>
        <v>0</v>
      </c>
      <c r="CL18" s="64">
        <f>CL5/21</f>
        <v>0</v>
      </c>
      <c r="CM18" s="64">
        <f>CM5/21</f>
        <v>0</v>
      </c>
      <c r="CN18" s="64">
        <f>CN5/21</f>
        <v>0</v>
      </c>
      <c r="CO18" s="64">
        <f>CO5/21</f>
        <v>0</v>
      </c>
      <c r="CP18" s="64">
        <f>CP5/21</f>
        <v>0</v>
      </c>
      <c r="CQ18" s="64">
        <f>CQ5/21</f>
        <v>0</v>
      </c>
      <c r="CR18" s="64">
        <f>CR5/21</f>
        <v>0</v>
      </c>
      <c r="CS18" s="64">
        <f>CS5/21</f>
        <v>0</v>
      </c>
      <c r="CU18" s="64">
        <f>AVERAGE(B18:CS18)</f>
        <v>0</v>
      </c>
      <c r="CW18" s="63"/>
    </row>
    <row r="19" spans="1:101" ht="14.5" x14ac:dyDescent="0.35">
      <c r="A19" s="60" t="s">
        <v>216</v>
      </c>
      <c r="B19" s="64">
        <f>B6/22</f>
        <v>0</v>
      </c>
      <c r="C19" s="64">
        <f>C6/22</f>
        <v>0</v>
      </c>
      <c r="D19" s="64">
        <f>D6/22</f>
        <v>0</v>
      </c>
      <c r="E19" s="64">
        <f>E6/22</f>
        <v>0</v>
      </c>
      <c r="F19" s="64">
        <f>F6/22</f>
        <v>0</v>
      </c>
      <c r="G19" s="64">
        <f>G6/22</f>
        <v>0</v>
      </c>
      <c r="H19" s="64">
        <f>H6/22</f>
        <v>0</v>
      </c>
      <c r="I19" s="64">
        <f>I6/22</f>
        <v>0</v>
      </c>
      <c r="J19" s="64">
        <f>J6/22</f>
        <v>0</v>
      </c>
      <c r="K19" s="64">
        <f>K6/22</f>
        <v>0</v>
      </c>
      <c r="L19" s="64">
        <f>L6/22</f>
        <v>0</v>
      </c>
      <c r="M19" s="64">
        <f>M6/22</f>
        <v>0</v>
      </c>
      <c r="N19" s="64">
        <f>N6/22</f>
        <v>0</v>
      </c>
      <c r="O19" s="64">
        <f>O6/22</f>
        <v>0</v>
      </c>
      <c r="P19" s="64">
        <f>P6/22</f>
        <v>0</v>
      </c>
      <c r="Q19" s="64">
        <f>Q6/22</f>
        <v>0</v>
      </c>
      <c r="R19" s="64">
        <f>R6/22</f>
        <v>0</v>
      </c>
      <c r="S19" s="64">
        <f>S6/22</f>
        <v>0</v>
      </c>
      <c r="T19" s="64">
        <f>T6/22</f>
        <v>0</v>
      </c>
      <c r="U19" s="64">
        <f>U6/22</f>
        <v>0</v>
      </c>
      <c r="V19" s="64">
        <f>V6/22</f>
        <v>0</v>
      </c>
      <c r="W19" s="64">
        <f>W6/22</f>
        <v>0</v>
      </c>
      <c r="X19" s="64">
        <f>X6/22</f>
        <v>0</v>
      </c>
      <c r="Y19" s="64">
        <f>Y6/22</f>
        <v>0</v>
      </c>
      <c r="Z19" s="64">
        <f>Z6/22</f>
        <v>0</v>
      </c>
      <c r="AA19" s="64">
        <f>AA6/22</f>
        <v>0</v>
      </c>
      <c r="AB19" s="64">
        <f>AB6/22</f>
        <v>0</v>
      </c>
      <c r="AC19" s="64">
        <f>AC6/22</f>
        <v>0</v>
      </c>
      <c r="AD19" s="64">
        <f>AD6/22</f>
        <v>0</v>
      </c>
      <c r="AE19" s="64">
        <f>AE6/22</f>
        <v>0</v>
      </c>
      <c r="AF19" s="64">
        <f>AF6/22</f>
        <v>0</v>
      </c>
      <c r="AG19" s="64">
        <f>AG6/22</f>
        <v>0</v>
      </c>
      <c r="AH19" s="64">
        <f>AH6/22</f>
        <v>0</v>
      </c>
      <c r="AI19" s="64">
        <f>AI6/22</f>
        <v>0</v>
      </c>
      <c r="AJ19" s="64">
        <f>AJ6/22</f>
        <v>0</v>
      </c>
      <c r="AK19" s="64">
        <f>AK6/22</f>
        <v>0</v>
      </c>
      <c r="AL19" s="64">
        <f>AL6/22</f>
        <v>0</v>
      </c>
      <c r="AM19" s="64">
        <f>AM6/22</f>
        <v>0</v>
      </c>
      <c r="AN19" s="64">
        <f>AN6/22</f>
        <v>0</v>
      </c>
      <c r="AO19" s="64">
        <f>AO6/22</f>
        <v>0</v>
      </c>
      <c r="AP19" s="64">
        <f>AP6/22</f>
        <v>0</v>
      </c>
      <c r="AQ19" s="64">
        <f>AQ6/22</f>
        <v>0</v>
      </c>
      <c r="AR19" s="64">
        <f>AR6/22</f>
        <v>0</v>
      </c>
      <c r="AS19" s="64">
        <f>AS6/22</f>
        <v>0</v>
      </c>
      <c r="AT19" s="64">
        <f>AT6/22</f>
        <v>0</v>
      </c>
      <c r="AU19" s="64">
        <f>AU6/22</f>
        <v>0</v>
      </c>
      <c r="AV19" s="64">
        <f>AV6/22</f>
        <v>0</v>
      </c>
      <c r="AW19" s="64">
        <f>AW6/22</f>
        <v>0</v>
      </c>
      <c r="AX19" s="64">
        <f>AX6/22</f>
        <v>0</v>
      </c>
      <c r="AY19" s="64">
        <f>AY6/22</f>
        <v>0</v>
      </c>
      <c r="AZ19" s="64">
        <f>AZ6/22</f>
        <v>0</v>
      </c>
      <c r="BA19" s="64">
        <f>BA6/22</f>
        <v>0</v>
      </c>
      <c r="BB19" s="64">
        <f>BB6/22</f>
        <v>0</v>
      </c>
      <c r="BC19" s="64">
        <f>BC6/22</f>
        <v>0</v>
      </c>
      <c r="BD19" s="64">
        <f>BD6/22</f>
        <v>0</v>
      </c>
      <c r="BE19" s="64">
        <f>BE6/22</f>
        <v>0</v>
      </c>
      <c r="BF19" s="64">
        <f>BF6/22</f>
        <v>0</v>
      </c>
      <c r="BG19" s="64">
        <f>BG6/22</f>
        <v>0</v>
      </c>
      <c r="BH19" s="64">
        <f>BH6/22</f>
        <v>0</v>
      </c>
      <c r="BI19" s="64">
        <f>BI6/22</f>
        <v>0</v>
      </c>
      <c r="BJ19" s="64">
        <f>BJ6/22</f>
        <v>0</v>
      </c>
      <c r="BK19" s="64">
        <f>BK6/22</f>
        <v>0</v>
      </c>
      <c r="BL19" s="64">
        <f>BL6/22</f>
        <v>0</v>
      </c>
      <c r="BM19" s="64">
        <f>BM6/22</f>
        <v>0</v>
      </c>
      <c r="BN19" s="64">
        <f>BN6/22</f>
        <v>0</v>
      </c>
      <c r="BO19" s="64">
        <f>BO6/22</f>
        <v>0</v>
      </c>
      <c r="BP19" s="64">
        <f>BP6/22</f>
        <v>0</v>
      </c>
      <c r="BQ19" s="64">
        <f>BQ6/22</f>
        <v>0</v>
      </c>
      <c r="BR19" s="64">
        <f>BR6/22</f>
        <v>0</v>
      </c>
      <c r="BS19" s="64">
        <f>BS6/22</f>
        <v>0</v>
      </c>
      <c r="BT19" s="64">
        <f>BT6/22</f>
        <v>0</v>
      </c>
      <c r="BU19" s="64">
        <f>BU6/22</f>
        <v>0</v>
      </c>
      <c r="BV19" s="64">
        <f>BV6/22</f>
        <v>0</v>
      </c>
      <c r="BW19" s="64">
        <f>BW6/22</f>
        <v>0</v>
      </c>
      <c r="BX19" s="64">
        <f>BX6/22</f>
        <v>0</v>
      </c>
      <c r="BY19" s="64">
        <f>BY6/22</f>
        <v>0</v>
      </c>
      <c r="BZ19" s="64">
        <f>BZ6/22</f>
        <v>0</v>
      </c>
      <c r="CA19" s="64">
        <f>CA6/22</f>
        <v>0</v>
      </c>
      <c r="CB19" s="64">
        <f>CB6/22</f>
        <v>0</v>
      </c>
      <c r="CC19" s="64">
        <f>CC6/22</f>
        <v>0</v>
      </c>
      <c r="CD19" s="64">
        <f>CD6/22</f>
        <v>0</v>
      </c>
      <c r="CE19" s="64">
        <f>CE6/22</f>
        <v>0</v>
      </c>
      <c r="CF19" s="64">
        <f>CF6/22</f>
        <v>0</v>
      </c>
      <c r="CG19" s="64">
        <f>CG6/22</f>
        <v>0</v>
      </c>
      <c r="CH19" s="64">
        <f>CH6/22</f>
        <v>0</v>
      </c>
      <c r="CI19" s="64">
        <f>CI6/22</f>
        <v>0</v>
      </c>
      <c r="CJ19" s="64">
        <f>CJ6/22</f>
        <v>0</v>
      </c>
      <c r="CK19" s="64">
        <f>CK6/22</f>
        <v>0</v>
      </c>
      <c r="CL19" s="64">
        <f>CL6/22</f>
        <v>0</v>
      </c>
      <c r="CM19" s="64">
        <f>CM6/22</f>
        <v>0</v>
      </c>
      <c r="CN19" s="64">
        <f>CN6/22</f>
        <v>0</v>
      </c>
      <c r="CO19" s="64">
        <f>CO6/22</f>
        <v>0</v>
      </c>
      <c r="CP19" s="64">
        <f>CP6/22</f>
        <v>0</v>
      </c>
      <c r="CQ19" s="64">
        <f>CQ6/22</f>
        <v>0</v>
      </c>
      <c r="CR19" s="64">
        <f>CR6/22</f>
        <v>0</v>
      </c>
      <c r="CS19" s="64">
        <f>CS6/22</f>
        <v>0</v>
      </c>
      <c r="CU19" s="64">
        <f>AVERAGE(B19:CS19)</f>
        <v>0</v>
      </c>
      <c r="CW19" s="63"/>
    </row>
    <row r="20" spans="1:101" ht="14.5" x14ac:dyDescent="0.35">
      <c r="A20" s="60" t="s">
        <v>217</v>
      </c>
      <c r="B20" s="64">
        <f>B7/22</f>
        <v>0</v>
      </c>
      <c r="C20" s="64">
        <f>C7/22</f>
        <v>0</v>
      </c>
      <c r="D20" s="64">
        <f>D7/22</f>
        <v>0</v>
      </c>
      <c r="E20" s="64">
        <f>E7/22</f>
        <v>0</v>
      </c>
      <c r="F20" s="64">
        <f>F7/22</f>
        <v>0</v>
      </c>
      <c r="G20" s="64">
        <f>G7/22</f>
        <v>0</v>
      </c>
      <c r="H20" s="64">
        <f>H7/22</f>
        <v>0</v>
      </c>
      <c r="I20" s="64">
        <f>I7/22</f>
        <v>0</v>
      </c>
      <c r="J20" s="64">
        <f>J7/22</f>
        <v>0</v>
      </c>
      <c r="K20" s="64">
        <f>K7/22</f>
        <v>0</v>
      </c>
      <c r="L20" s="64">
        <f>L7/22</f>
        <v>0</v>
      </c>
      <c r="M20" s="64">
        <f>M7/22</f>
        <v>0</v>
      </c>
      <c r="N20" s="64">
        <f>N7/22</f>
        <v>0</v>
      </c>
      <c r="O20" s="64">
        <f>O7/22</f>
        <v>0</v>
      </c>
      <c r="P20" s="64">
        <f>P7/22</f>
        <v>0</v>
      </c>
      <c r="Q20" s="64">
        <f>Q7/22</f>
        <v>0</v>
      </c>
      <c r="R20" s="64">
        <f>R7/22</f>
        <v>0</v>
      </c>
      <c r="S20" s="64">
        <f>S7/22</f>
        <v>0</v>
      </c>
      <c r="T20" s="64">
        <f>T7/22</f>
        <v>0</v>
      </c>
      <c r="U20" s="64">
        <f>U7/22</f>
        <v>0</v>
      </c>
      <c r="V20" s="64">
        <f>V7/22</f>
        <v>0</v>
      </c>
      <c r="W20" s="64">
        <f>W7/22</f>
        <v>0</v>
      </c>
      <c r="X20" s="64">
        <f>X7/22</f>
        <v>0</v>
      </c>
      <c r="Y20" s="64">
        <f>Y7/22</f>
        <v>0</v>
      </c>
      <c r="Z20" s="64">
        <f>Z7/22</f>
        <v>0</v>
      </c>
      <c r="AA20" s="64">
        <f>AA7/22</f>
        <v>0</v>
      </c>
      <c r="AB20" s="64">
        <f>AB7/22</f>
        <v>0</v>
      </c>
      <c r="AC20" s="64">
        <f>AC7/22</f>
        <v>0</v>
      </c>
      <c r="AD20" s="64">
        <f>AD7/22</f>
        <v>0</v>
      </c>
      <c r="AE20" s="64">
        <f>AE7/22</f>
        <v>0</v>
      </c>
      <c r="AF20" s="64">
        <f>AF7/22</f>
        <v>0</v>
      </c>
      <c r="AG20" s="64">
        <f>AG7/22</f>
        <v>0</v>
      </c>
      <c r="AH20" s="64">
        <f>AH7/22</f>
        <v>0</v>
      </c>
      <c r="AI20" s="64">
        <f>AI7/22</f>
        <v>0</v>
      </c>
      <c r="AJ20" s="64">
        <f>AJ7/22</f>
        <v>0</v>
      </c>
      <c r="AK20" s="64">
        <f>AK7/22</f>
        <v>0</v>
      </c>
      <c r="AL20" s="64">
        <f>AL7/22</f>
        <v>0</v>
      </c>
      <c r="AM20" s="64">
        <f>AM7/22</f>
        <v>0</v>
      </c>
      <c r="AN20" s="64">
        <f>AN7/22</f>
        <v>0</v>
      </c>
      <c r="AO20" s="64">
        <f>AO7/22</f>
        <v>0</v>
      </c>
      <c r="AP20" s="64">
        <f>AP7/22</f>
        <v>0</v>
      </c>
      <c r="AQ20" s="64">
        <f>AQ7/22</f>
        <v>0</v>
      </c>
      <c r="AR20" s="64">
        <f>AR7/22</f>
        <v>0</v>
      </c>
      <c r="AS20" s="64">
        <f>AS7/22</f>
        <v>0</v>
      </c>
      <c r="AT20" s="64">
        <f>AT7/22</f>
        <v>0</v>
      </c>
      <c r="AU20" s="64">
        <f>AU7/22</f>
        <v>0</v>
      </c>
      <c r="AV20" s="64">
        <f>AV7/22</f>
        <v>0</v>
      </c>
      <c r="AW20" s="64">
        <f>AW7/22</f>
        <v>0</v>
      </c>
      <c r="AX20" s="64">
        <f>AX7/22</f>
        <v>0</v>
      </c>
      <c r="AY20" s="64">
        <f>AY7/22</f>
        <v>0</v>
      </c>
      <c r="AZ20" s="64">
        <f>AZ7/22</f>
        <v>0</v>
      </c>
      <c r="BA20" s="64">
        <f>BA7/22</f>
        <v>0</v>
      </c>
      <c r="BB20" s="64">
        <f>BB7/22</f>
        <v>0</v>
      </c>
      <c r="BC20" s="64">
        <f>BC7/22</f>
        <v>0</v>
      </c>
      <c r="BD20" s="64">
        <f>BD7/22</f>
        <v>0</v>
      </c>
      <c r="BE20" s="64">
        <f>BE7/22</f>
        <v>0</v>
      </c>
      <c r="BF20" s="64">
        <f>BF7/22</f>
        <v>0</v>
      </c>
      <c r="BG20" s="64">
        <f>BG7/22</f>
        <v>0</v>
      </c>
      <c r="BH20" s="64">
        <f>BH7/22</f>
        <v>0</v>
      </c>
      <c r="BI20" s="64">
        <f>BI7/22</f>
        <v>0</v>
      </c>
      <c r="BJ20" s="64">
        <f>BJ7/22</f>
        <v>0</v>
      </c>
      <c r="BK20" s="64">
        <f>BK7/22</f>
        <v>0</v>
      </c>
      <c r="BL20" s="64">
        <f>BL7/22</f>
        <v>0</v>
      </c>
      <c r="BM20" s="64">
        <f>BM7/22</f>
        <v>0</v>
      </c>
      <c r="BN20" s="64">
        <f>BN7/22</f>
        <v>0</v>
      </c>
      <c r="BO20" s="64">
        <f>BO7/22</f>
        <v>0</v>
      </c>
      <c r="BP20" s="64">
        <f>BP7/22</f>
        <v>0</v>
      </c>
      <c r="BQ20" s="64">
        <f>BQ7/22</f>
        <v>0</v>
      </c>
      <c r="BR20" s="64">
        <f>BR7/22</f>
        <v>0</v>
      </c>
      <c r="BS20" s="64">
        <f>BS7/22</f>
        <v>0</v>
      </c>
      <c r="BT20" s="64">
        <f>BT7/22</f>
        <v>0</v>
      </c>
      <c r="BU20" s="64">
        <f>BU7/22</f>
        <v>0</v>
      </c>
      <c r="BV20" s="64">
        <f>BV7/22</f>
        <v>0</v>
      </c>
      <c r="BW20" s="64">
        <f>BW7/22</f>
        <v>0</v>
      </c>
      <c r="BX20" s="64">
        <f>BX7/22</f>
        <v>0</v>
      </c>
      <c r="BY20" s="64">
        <f>BY7/22</f>
        <v>0</v>
      </c>
      <c r="BZ20" s="64">
        <f>BZ7/22</f>
        <v>0</v>
      </c>
      <c r="CA20" s="64">
        <f>CA7/22</f>
        <v>0</v>
      </c>
      <c r="CB20" s="64">
        <f>CB7/22</f>
        <v>0</v>
      </c>
      <c r="CC20" s="64">
        <f>CC7/22</f>
        <v>0</v>
      </c>
      <c r="CD20" s="64">
        <f>CD7/22</f>
        <v>0</v>
      </c>
      <c r="CE20" s="64">
        <f>CE7/22</f>
        <v>0</v>
      </c>
      <c r="CF20" s="64">
        <f>CF7/22</f>
        <v>0</v>
      </c>
      <c r="CG20" s="64">
        <f>CG7/22</f>
        <v>0</v>
      </c>
      <c r="CH20" s="64">
        <f>CH7/22</f>
        <v>0</v>
      </c>
      <c r="CI20" s="64">
        <f>CI7/22</f>
        <v>0</v>
      </c>
      <c r="CJ20" s="64">
        <f>CJ7/22</f>
        <v>0</v>
      </c>
      <c r="CK20" s="64">
        <f>CK7/22</f>
        <v>0</v>
      </c>
      <c r="CL20" s="64">
        <f>CL7/22</f>
        <v>0</v>
      </c>
      <c r="CM20" s="64">
        <f>CM7/22</f>
        <v>0</v>
      </c>
      <c r="CN20" s="64">
        <f>CN7/22</f>
        <v>0</v>
      </c>
      <c r="CO20" s="64">
        <f>CO7/22</f>
        <v>0</v>
      </c>
      <c r="CP20" s="64">
        <f>CP7/22</f>
        <v>0</v>
      </c>
      <c r="CQ20" s="64">
        <f>CQ7/22</f>
        <v>0</v>
      </c>
      <c r="CR20" s="64">
        <f>CR7/22</f>
        <v>0</v>
      </c>
      <c r="CS20" s="64">
        <f>CS7/22</f>
        <v>0</v>
      </c>
      <c r="CU20" s="64">
        <f>AVERAGE(B20:CS20)</f>
        <v>0</v>
      </c>
      <c r="CW20" s="63"/>
    </row>
    <row r="21" spans="1:101" ht="14.5" x14ac:dyDescent="0.35">
      <c r="A21" s="60" t="s">
        <v>218</v>
      </c>
      <c r="B21" s="64">
        <f>B8/20</f>
        <v>0</v>
      </c>
      <c r="C21" s="64">
        <f>C8/20</f>
        <v>0</v>
      </c>
      <c r="D21" s="64">
        <f>D8/20</f>
        <v>0</v>
      </c>
      <c r="E21" s="64">
        <f>E8/20</f>
        <v>0</v>
      </c>
      <c r="F21" s="64">
        <f>F8/20</f>
        <v>0</v>
      </c>
      <c r="G21" s="64">
        <f>G8/20</f>
        <v>0</v>
      </c>
      <c r="H21" s="64">
        <f>H8/20</f>
        <v>0</v>
      </c>
      <c r="I21" s="64">
        <f>I8/20</f>
        <v>0</v>
      </c>
      <c r="J21" s="64">
        <f>J8/20</f>
        <v>0</v>
      </c>
      <c r="K21" s="64">
        <f>K8/20</f>
        <v>0</v>
      </c>
      <c r="L21" s="64">
        <f>L8/20</f>
        <v>0</v>
      </c>
      <c r="M21" s="64">
        <f>M8/20</f>
        <v>0</v>
      </c>
      <c r="N21" s="64">
        <f>N8/20</f>
        <v>0</v>
      </c>
      <c r="O21" s="64">
        <f>O8/20</f>
        <v>0</v>
      </c>
      <c r="P21" s="64">
        <f>P8/20</f>
        <v>0</v>
      </c>
      <c r="Q21" s="64">
        <f>Q8/20</f>
        <v>0</v>
      </c>
      <c r="R21" s="64">
        <f>R8/20</f>
        <v>0</v>
      </c>
      <c r="S21" s="64">
        <f>S8/20</f>
        <v>0</v>
      </c>
      <c r="T21" s="64">
        <f>T8/20</f>
        <v>0</v>
      </c>
      <c r="U21" s="64">
        <f>U8/20</f>
        <v>0</v>
      </c>
      <c r="V21" s="64">
        <f>V8/20</f>
        <v>0</v>
      </c>
      <c r="W21" s="64">
        <f>W8/20</f>
        <v>0</v>
      </c>
      <c r="X21" s="64">
        <f>X8/20</f>
        <v>0</v>
      </c>
      <c r="Y21" s="64">
        <f>Y8/20</f>
        <v>0</v>
      </c>
      <c r="Z21" s="64">
        <f>Z8/20</f>
        <v>0</v>
      </c>
      <c r="AA21" s="64">
        <f>AA8/20</f>
        <v>0</v>
      </c>
      <c r="AB21" s="64">
        <f>AB8/20</f>
        <v>0</v>
      </c>
      <c r="AC21" s="64">
        <f>AC8/20</f>
        <v>0</v>
      </c>
      <c r="AD21" s="64">
        <f>AD8/20</f>
        <v>0</v>
      </c>
      <c r="AE21" s="64">
        <f>AE8/20</f>
        <v>0</v>
      </c>
      <c r="AF21" s="64">
        <f>AF8/20</f>
        <v>0</v>
      </c>
      <c r="AG21" s="64">
        <f>AG8/20</f>
        <v>0</v>
      </c>
      <c r="AH21" s="64">
        <f>AH8/20</f>
        <v>0</v>
      </c>
      <c r="AI21" s="64">
        <f>AI8/20</f>
        <v>0</v>
      </c>
      <c r="AJ21" s="64">
        <f>AJ8/20</f>
        <v>0</v>
      </c>
      <c r="AK21" s="64">
        <f>AK8/20</f>
        <v>0</v>
      </c>
      <c r="AL21" s="64">
        <f>AL8/20</f>
        <v>0</v>
      </c>
      <c r="AM21" s="64">
        <f>AM8/20</f>
        <v>0</v>
      </c>
      <c r="AN21" s="64">
        <f>AN8/20</f>
        <v>0</v>
      </c>
      <c r="AO21" s="64">
        <f>AO8/20</f>
        <v>0</v>
      </c>
      <c r="AP21" s="64">
        <f>AP8/20</f>
        <v>0</v>
      </c>
      <c r="AQ21" s="64">
        <f>AQ8/20</f>
        <v>0</v>
      </c>
      <c r="AR21" s="64">
        <f>AR8/20</f>
        <v>0</v>
      </c>
      <c r="AS21" s="64">
        <f>AS8/20</f>
        <v>0</v>
      </c>
      <c r="AT21" s="64">
        <f>AT8/20</f>
        <v>0</v>
      </c>
      <c r="AU21" s="64">
        <f>AU8/20</f>
        <v>0</v>
      </c>
      <c r="AV21" s="64">
        <f>AV8/20</f>
        <v>0</v>
      </c>
      <c r="AW21" s="64">
        <f>AW8/20</f>
        <v>0</v>
      </c>
      <c r="AX21" s="64">
        <f>AX8/20</f>
        <v>0</v>
      </c>
      <c r="AY21" s="64">
        <f>AY8/20</f>
        <v>0</v>
      </c>
      <c r="AZ21" s="64">
        <f>AZ8/20</f>
        <v>0</v>
      </c>
      <c r="BA21" s="64">
        <f>BA8/20</f>
        <v>0</v>
      </c>
      <c r="BB21" s="64">
        <f>BB8/20</f>
        <v>0</v>
      </c>
      <c r="BC21" s="64">
        <f>BC8/20</f>
        <v>0</v>
      </c>
      <c r="BD21" s="64">
        <f>BD8/20</f>
        <v>0</v>
      </c>
      <c r="BE21" s="64">
        <f>BE8/20</f>
        <v>0</v>
      </c>
      <c r="BF21" s="64">
        <f>BF8/20</f>
        <v>0</v>
      </c>
      <c r="BG21" s="64">
        <f>BG8/20</f>
        <v>0</v>
      </c>
      <c r="BH21" s="64">
        <f>BH8/20</f>
        <v>0</v>
      </c>
      <c r="BI21" s="64">
        <f>BI8/20</f>
        <v>0</v>
      </c>
      <c r="BJ21" s="64">
        <f>BJ8/20</f>
        <v>0</v>
      </c>
      <c r="BK21" s="64">
        <f>BK8/20</f>
        <v>0</v>
      </c>
      <c r="BL21" s="64">
        <f>BL8/20</f>
        <v>0</v>
      </c>
      <c r="BM21" s="64">
        <f>BM8/20</f>
        <v>0</v>
      </c>
      <c r="BN21" s="64">
        <f>BN8/20</f>
        <v>0</v>
      </c>
      <c r="BO21" s="64">
        <f>BO8/20</f>
        <v>0</v>
      </c>
      <c r="BP21" s="64">
        <f>BP8/20</f>
        <v>0</v>
      </c>
      <c r="BQ21" s="64">
        <f>BQ8/20</f>
        <v>0</v>
      </c>
      <c r="BR21" s="64">
        <f>BR8/20</f>
        <v>0</v>
      </c>
      <c r="BS21" s="64">
        <f>BS8/20</f>
        <v>0</v>
      </c>
      <c r="BT21" s="64">
        <f>BT8/20</f>
        <v>0</v>
      </c>
      <c r="BU21" s="64">
        <f>BU8/20</f>
        <v>0</v>
      </c>
      <c r="BV21" s="64">
        <f>BV8/20</f>
        <v>0</v>
      </c>
      <c r="BW21" s="64">
        <f>BW8/20</f>
        <v>0</v>
      </c>
      <c r="BX21" s="64">
        <f>BX8/20</f>
        <v>0</v>
      </c>
      <c r="BY21" s="64">
        <f>BY8/20</f>
        <v>0</v>
      </c>
      <c r="BZ21" s="64">
        <f>BZ8/20</f>
        <v>0</v>
      </c>
      <c r="CA21" s="64">
        <f>CA8/20</f>
        <v>0</v>
      </c>
      <c r="CB21" s="64">
        <f>CB8/20</f>
        <v>0</v>
      </c>
      <c r="CC21" s="64">
        <f>CC8/20</f>
        <v>0</v>
      </c>
      <c r="CD21" s="64">
        <f>CD8/20</f>
        <v>0</v>
      </c>
      <c r="CE21" s="64">
        <f>CE8/20</f>
        <v>0</v>
      </c>
      <c r="CF21" s="64">
        <f>CF8/20</f>
        <v>0</v>
      </c>
      <c r="CG21" s="64">
        <f>CG8/20</f>
        <v>0</v>
      </c>
      <c r="CH21" s="64">
        <f>CH8/20</f>
        <v>0</v>
      </c>
      <c r="CI21" s="64">
        <f>CI8/20</f>
        <v>0</v>
      </c>
      <c r="CJ21" s="64">
        <f>CJ8/20</f>
        <v>0</v>
      </c>
      <c r="CK21" s="64">
        <f>CK8/20</f>
        <v>0</v>
      </c>
      <c r="CL21" s="64">
        <f>CL8/20</f>
        <v>0</v>
      </c>
      <c r="CM21" s="64">
        <f>CM8/20</f>
        <v>0</v>
      </c>
      <c r="CN21" s="64">
        <f>CN8/20</f>
        <v>0</v>
      </c>
      <c r="CO21" s="64">
        <f>CO8/20</f>
        <v>0</v>
      </c>
      <c r="CP21" s="64">
        <f>CP8/20</f>
        <v>0</v>
      </c>
      <c r="CQ21" s="64">
        <f>CQ8/20</f>
        <v>0</v>
      </c>
      <c r="CR21" s="64">
        <f>CR8/20</f>
        <v>0</v>
      </c>
      <c r="CS21" s="64">
        <f>CS8/20</f>
        <v>0</v>
      </c>
      <c r="CU21" s="64">
        <f>AVERAGE(B21:CS21)</f>
        <v>0</v>
      </c>
      <c r="CW21" s="63"/>
    </row>
    <row r="22" spans="1:101" ht="14.5" x14ac:dyDescent="0.35">
      <c r="A22" s="60" t="s">
        <v>219</v>
      </c>
      <c r="B22" s="64">
        <f>B9/23</f>
        <v>0</v>
      </c>
      <c r="C22" s="64">
        <f>C9/23</f>
        <v>0</v>
      </c>
      <c r="D22" s="64">
        <f>D9/23</f>
        <v>0</v>
      </c>
      <c r="E22" s="64">
        <f>E9/23</f>
        <v>0</v>
      </c>
      <c r="F22" s="64">
        <f>F9/23</f>
        <v>0</v>
      </c>
      <c r="G22" s="64">
        <f>G9/23</f>
        <v>0</v>
      </c>
      <c r="H22" s="64">
        <f>H9/23</f>
        <v>0</v>
      </c>
      <c r="I22" s="64">
        <f>I9/23</f>
        <v>0</v>
      </c>
      <c r="J22" s="64">
        <f>J9/23</f>
        <v>0</v>
      </c>
      <c r="K22" s="64">
        <f>K9/23</f>
        <v>0</v>
      </c>
      <c r="L22" s="64">
        <f>L9/23</f>
        <v>0</v>
      </c>
      <c r="M22" s="64">
        <f>M9/23</f>
        <v>0</v>
      </c>
      <c r="N22" s="64">
        <f>N9/23</f>
        <v>0</v>
      </c>
      <c r="O22" s="64">
        <f>O9/23</f>
        <v>0</v>
      </c>
      <c r="P22" s="64">
        <f>P9/23</f>
        <v>0</v>
      </c>
      <c r="Q22" s="64">
        <f>Q9/23</f>
        <v>0</v>
      </c>
      <c r="R22" s="64">
        <f>R9/23</f>
        <v>0</v>
      </c>
      <c r="S22" s="64">
        <f>S9/23</f>
        <v>0</v>
      </c>
      <c r="T22" s="64">
        <f>T9/23</f>
        <v>0</v>
      </c>
      <c r="U22" s="64">
        <f>U9/23</f>
        <v>0</v>
      </c>
      <c r="V22" s="64">
        <f>V9/23</f>
        <v>0</v>
      </c>
      <c r="W22" s="64">
        <f>W9/23</f>
        <v>0</v>
      </c>
      <c r="X22" s="64">
        <f>X9/23</f>
        <v>0</v>
      </c>
      <c r="Y22" s="64">
        <f>Y9/23</f>
        <v>0</v>
      </c>
      <c r="Z22" s="64">
        <f>Z9/23</f>
        <v>0</v>
      </c>
      <c r="AA22" s="64">
        <f>AA9/23</f>
        <v>0</v>
      </c>
      <c r="AB22" s="64">
        <f>AB9/23</f>
        <v>0</v>
      </c>
      <c r="AC22" s="64">
        <f>AC9/23</f>
        <v>0</v>
      </c>
      <c r="AD22" s="64">
        <f>AD9/23</f>
        <v>0</v>
      </c>
      <c r="AE22" s="64">
        <f>AE9/23</f>
        <v>0</v>
      </c>
      <c r="AF22" s="64">
        <f>AF9/23</f>
        <v>0</v>
      </c>
      <c r="AG22" s="64">
        <f>AG9/23</f>
        <v>0</v>
      </c>
      <c r="AH22" s="64">
        <f>AH9/23</f>
        <v>0</v>
      </c>
      <c r="AI22" s="64">
        <f>AI9/23</f>
        <v>0</v>
      </c>
      <c r="AJ22" s="64">
        <f>AJ9/23</f>
        <v>0</v>
      </c>
      <c r="AK22" s="64">
        <f>AK9/23</f>
        <v>0</v>
      </c>
      <c r="AL22" s="64">
        <f>AL9/23</f>
        <v>0</v>
      </c>
      <c r="AM22" s="64">
        <f>AM9/23</f>
        <v>0</v>
      </c>
      <c r="AN22" s="64">
        <f>AN9/23</f>
        <v>0</v>
      </c>
      <c r="AO22" s="64">
        <f>AO9/23</f>
        <v>0</v>
      </c>
      <c r="AP22" s="64">
        <f>AP9/23</f>
        <v>0</v>
      </c>
      <c r="AQ22" s="64">
        <f>AQ9/23</f>
        <v>0</v>
      </c>
      <c r="AR22" s="64">
        <f>AR9/23</f>
        <v>0</v>
      </c>
      <c r="AS22" s="64">
        <f>AS9/23</f>
        <v>0</v>
      </c>
      <c r="AT22" s="64">
        <f>AT9/23</f>
        <v>0</v>
      </c>
      <c r="AU22" s="64">
        <f>AU9/23</f>
        <v>0</v>
      </c>
      <c r="AV22" s="64">
        <f>AV9/23</f>
        <v>0</v>
      </c>
      <c r="AW22" s="64">
        <f>AW9/23</f>
        <v>0</v>
      </c>
      <c r="AX22" s="64">
        <f>AX9/23</f>
        <v>0</v>
      </c>
      <c r="AY22" s="64">
        <f>AY9/23</f>
        <v>0</v>
      </c>
      <c r="AZ22" s="64">
        <f>AZ9/23</f>
        <v>0</v>
      </c>
      <c r="BA22" s="64">
        <f>BA9/23</f>
        <v>0</v>
      </c>
      <c r="BB22" s="64">
        <f>BB9/23</f>
        <v>0</v>
      </c>
      <c r="BC22" s="64">
        <f>BC9/23</f>
        <v>0</v>
      </c>
      <c r="BD22" s="64">
        <f>BD9/23</f>
        <v>0</v>
      </c>
      <c r="BE22" s="64">
        <f>BE9/23</f>
        <v>0</v>
      </c>
      <c r="BF22" s="64">
        <f>BF9/23</f>
        <v>0</v>
      </c>
      <c r="BG22" s="64">
        <f>BG9/23</f>
        <v>0</v>
      </c>
      <c r="BH22" s="64">
        <f>BH9/23</f>
        <v>0</v>
      </c>
      <c r="BI22" s="64">
        <f>BI9/23</f>
        <v>0</v>
      </c>
      <c r="BJ22" s="64">
        <f>BJ9/23</f>
        <v>0</v>
      </c>
      <c r="BK22" s="64">
        <f>BK9/23</f>
        <v>0</v>
      </c>
      <c r="BL22" s="64">
        <f>BL9/23</f>
        <v>0</v>
      </c>
      <c r="BM22" s="64">
        <f>BM9/23</f>
        <v>0</v>
      </c>
      <c r="BN22" s="64">
        <f>BN9/23</f>
        <v>0</v>
      </c>
      <c r="BO22" s="64">
        <f>BO9/23</f>
        <v>0</v>
      </c>
      <c r="BP22" s="64">
        <f>BP9/23</f>
        <v>0</v>
      </c>
      <c r="BQ22" s="64">
        <f>BQ9/23</f>
        <v>0</v>
      </c>
      <c r="BR22" s="64">
        <f>BR9/23</f>
        <v>0</v>
      </c>
      <c r="BS22" s="64">
        <f>BS9/23</f>
        <v>0</v>
      </c>
      <c r="BT22" s="64">
        <f>BT9/23</f>
        <v>0</v>
      </c>
      <c r="BU22" s="64">
        <f>BU9/23</f>
        <v>0</v>
      </c>
      <c r="BV22" s="64">
        <f>BV9/23</f>
        <v>0</v>
      </c>
      <c r="BW22" s="64">
        <f>BW9/23</f>
        <v>0</v>
      </c>
      <c r="BX22" s="64">
        <f>BX9/23</f>
        <v>0</v>
      </c>
      <c r="BY22" s="64">
        <f>BY9/23</f>
        <v>0</v>
      </c>
      <c r="BZ22" s="64">
        <f>BZ9/23</f>
        <v>0</v>
      </c>
      <c r="CA22" s="64">
        <f>CA9/23</f>
        <v>0</v>
      </c>
      <c r="CB22" s="64">
        <f>CB9/23</f>
        <v>0</v>
      </c>
      <c r="CC22" s="64">
        <f>CC9/23</f>
        <v>0</v>
      </c>
      <c r="CD22" s="64">
        <f>CD9/23</f>
        <v>0</v>
      </c>
      <c r="CE22" s="64">
        <f>CE9/23</f>
        <v>0</v>
      </c>
      <c r="CF22" s="64">
        <f>CF9/23</f>
        <v>0</v>
      </c>
      <c r="CG22" s="64">
        <f>CG9/23</f>
        <v>0</v>
      </c>
      <c r="CH22" s="64">
        <f>CH9/23</f>
        <v>0</v>
      </c>
      <c r="CI22" s="64">
        <f>CI9/23</f>
        <v>0</v>
      </c>
      <c r="CJ22" s="64">
        <f>CJ9/23</f>
        <v>0</v>
      </c>
      <c r="CK22" s="64">
        <f>CK9/23</f>
        <v>0</v>
      </c>
      <c r="CL22" s="64">
        <f>CL9/23</f>
        <v>0</v>
      </c>
      <c r="CM22" s="64">
        <f>CM9/23</f>
        <v>0</v>
      </c>
      <c r="CN22" s="64">
        <f>CN9/23</f>
        <v>0</v>
      </c>
      <c r="CO22" s="64">
        <f>CO9/23</f>
        <v>0</v>
      </c>
      <c r="CP22" s="64">
        <f>CP9/23</f>
        <v>0</v>
      </c>
      <c r="CQ22" s="64">
        <f>CQ9/23</f>
        <v>0</v>
      </c>
      <c r="CR22" s="64">
        <f>CR9/23</f>
        <v>0</v>
      </c>
      <c r="CS22" s="64">
        <f>CS9/23</f>
        <v>0</v>
      </c>
      <c r="CU22" s="64">
        <f>AVERAGE(B22:CS22)</f>
        <v>0</v>
      </c>
      <c r="CW22" s="63"/>
    </row>
    <row r="23" spans="1:101" ht="14.5" x14ac:dyDescent="0.35">
      <c r="A23" s="60" t="s">
        <v>220</v>
      </c>
      <c r="B23" s="64">
        <f>B10/22</f>
        <v>0</v>
      </c>
      <c r="C23" s="64">
        <f>C10/22</f>
        <v>0</v>
      </c>
      <c r="D23" s="64">
        <f>D10/22</f>
        <v>0</v>
      </c>
      <c r="E23" s="64">
        <f>E10/22</f>
        <v>0</v>
      </c>
      <c r="F23" s="64">
        <f>F10/22</f>
        <v>0</v>
      </c>
      <c r="G23" s="64">
        <f>G10/22</f>
        <v>0</v>
      </c>
      <c r="H23" s="64">
        <f>H10/22</f>
        <v>0</v>
      </c>
      <c r="I23" s="64">
        <f>I10/22</f>
        <v>0</v>
      </c>
      <c r="J23" s="64">
        <f>J10/22</f>
        <v>0</v>
      </c>
      <c r="K23" s="64">
        <f>K10/22</f>
        <v>0</v>
      </c>
      <c r="L23" s="64">
        <f>L10/22</f>
        <v>0</v>
      </c>
      <c r="M23" s="64">
        <f>M10/22</f>
        <v>0</v>
      </c>
      <c r="N23" s="64">
        <f>N10/22</f>
        <v>0</v>
      </c>
      <c r="O23" s="64">
        <f>O10/22</f>
        <v>0</v>
      </c>
      <c r="P23" s="64">
        <f>P10/22</f>
        <v>0</v>
      </c>
      <c r="Q23" s="64">
        <f>Q10/22</f>
        <v>0</v>
      </c>
      <c r="R23" s="64">
        <f>R10/22</f>
        <v>0</v>
      </c>
      <c r="S23" s="64">
        <f>S10/22</f>
        <v>0</v>
      </c>
      <c r="T23" s="64">
        <f>T10/22</f>
        <v>0</v>
      </c>
      <c r="U23" s="64">
        <f>U10/22</f>
        <v>0</v>
      </c>
      <c r="V23" s="64">
        <f>V10/22</f>
        <v>0</v>
      </c>
      <c r="W23" s="64">
        <f>W10/22</f>
        <v>0</v>
      </c>
      <c r="X23" s="64">
        <f>X10/22</f>
        <v>0</v>
      </c>
      <c r="Y23" s="64">
        <f>Y10/22</f>
        <v>0</v>
      </c>
      <c r="Z23" s="64">
        <f>Z10/22</f>
        <v>0</v>
      </c>
      <c r="AA23" s="64">
        <f>AA10/22</f>
        <v>0</v>
      </c>
      <c r="AB23" s="64">
        <f>AB10/22</f>
        <v>0</v>
      </c>
      <c r="AC23" s="64">
        <f>AC10/22</f>
        <v>0</v>
      </c>
      <c r="AD23" s="64">
        <f>AD10/22</f>
        <v>0</v>
      </c>
      <c r="AE23" s="64">
        <f>AE10/22</f>
        <v>0</v>
      </c>
      <c r="AF23" s="64">
        <f>AF10/22</f>
        <v>0</v>
      </c>
      <c r="AG23" s="64">
        <f>AG10/22</f>
        <v>0</v>
      </c>
      <c r="AH23" s="64">
        <f>AH10/22</f>
        <v>0</v>
      </c>
      <c r="AI23" s="64">
        <f>AI10/22</f>
        <v>0</v>
      </c>
      <c r="AJ23" s="64">
        <f>AJ10/22</f>
        <v>0</v>
      </c>
      <c r="AK23" s="64">
        <f>AK10/22</f>
        <v>0</v>
      </c>
      <c r="AL23" s="64">
        <f>AL10/22</f>
        <v>0</v>
      </c>
      <c r="AM23" s="64">
        <f>AM10/22</f>
        <v>0</v>
      </c>
      <c r="AN23" s="64">
        <f>AN10/22</f>
        <v>0</v>
      </c>
      <c r="AO23" s="64">
        <f>AO10/22</f>
        <v>0</v>
      </c>
      <c r="AP23" s="64">
        <f>AP10/22</f>
        <v>0</v>
      </c>
      <c r="AQ23" s="64">
        <f>AQ10/22</f>
        <v>0</v>
      </c>
      <c r="AR23" s="64">
        <f>AR10/22</f>
        <v>0</v>
      </c>
      <c r="AS23" s="64">
        <f>AS10/22</f>
        <v>0</v>
      </c>
      <c r="AT23" s="64">
        <f>AT10/22</f>
        <v>0</v>
      </c>
      <c r="AU23" s="64">
        <f>AU10/22</f>
        <v>0</v>
      </c>
      <c r="AV23" s="64">
        <f>AV10/22</f>
        <v>0</v>
      </c>
      <c r="AW23" s="64">
        <f>AW10/22</f>
        <v>0</v>
      </c>
      <c r="AX23" s="64">
        <f>AX10/22</f>
        <v>0</v>
      </c>
      <c r="AY23" s="64">
        <f>AY10/22</f>
        <v>0</v>
      </c>
      <c r="AZ23" s="64">
        <f>AZ10/22</f>
        <v>0</v>
      </c>
      <c r="BA23" s="64">
        <f>BA10/22</f>
        <v>0</v>
      </c>
      <c r="BB23" s="64">
        <f>BB10/22</f>
        <v>0</v>
      </c>
      <c r="BC23" s="64">
        <f>BC10/22</f>
        <v>0</v>
      </c>
      <c r="BD23" s="64">
        <f>BD10/22</f>
        <v>0</v>
      </c>
      <c r="BE23" s="64">
        <f>BE10/22</f>
        <v>0</v>
      </c>
      <c r="BF23" s="64">
        <f>BF10/22</f>
        <v>0</v>
      </c>
      <c r="BG23" s="64">
        <f>BG10/22</f>
        <v>0</v>
      </c>
      <c r="BH23" s="64">
        <f>BH10/22</f>
        <v>0</v>
      </c>
      <c r="BI23" s="64">
        <f>BI10/22</f>
        <v>0</v>
      </c>
      <c r="BJ23" s="64">
        <f>BJ10/22</f>
        <v>0</v>
      </c>
      <c r="BK23" s="64">
        <f>BK10/22</f>
        <v>0</v>
      </c>
      <c r="BL23" s="64">
        <f>BL10/22</f>
        <v>0</v>
      </c>
      <c r="BM23" s="64">
        <f>BM10/22</f>
        <v>0</v>
      </c>
      <c r="BN23" s="64">
        <f>BN10/22</f>
        <v>0</v>
      </c>
      <c r="BO23" s="64">
        <f>BO10/22</f>
        <v>0</v>
      </c>
      <c r="BP23" s="64">
        <f>BP10/22</f>
        <v>0</v>
      </c>
      <c r="BQ23" s="64">
        <f>BQ10/22</f>
        <v>0</v>
      </c>
      <c r="BR23" s="64">
        <f>BR10/22</f>
        <v>0</v>
      </c>
      <c r="BS23" s="64">
        <f>BS10/22</f>
        <v>0</v>
      </c>
      <c r="BT23" s="64">
        <f>BT10/22</f>
        <v>0</v>
      </c>
      <c r="BU23" s="64">
        <f>BU10/22</f>
        <v>0</v>
      </c>
      <c r="BV23" s="64">
        <f>BV10/22</f>
        <v>0</v>
      </c>
      <c r="BW23" s="64">
        <f>BW10/22</f>
        <v>0</v>
      </c>
      <c r="BX23" s="64">
        <f>BX10/22</f>
        <v>0</v>
      </c>
      <c r="BY23" s="64">
        <f>BY10/22</f>
        <v>0</v>
      </c>
      <c r="BZ23" s="64">
        <f>BZ10/22</f>
        <v>0</v>
      </c>
      <c r="CA23" s="64">
        <f>CA10/22</f>
        <v>0</v>
      </c>
      <c r="CB23" s="64">
        <f>CB10/22</f>
        <v>0</v>
      </c>
      <c r="CC23" s="64">
        <f>CC10/22</f>
        <v>0</v>
      </c>
      <c r="CD23" s="64">
        <f>CD10/22</f>
        <v>0</v>
      </c>
      <c r="CE23" s="64">
        <f>CE10/22</f>
        <v>0</v>
      </c>
      <c r="CF23" s="64">
        <f>CF10/22</f>
        <v>0</v>
      </c>
      <c r="CG23" s="64">
        <f>CG10/22</f>
        <v>0</v>
      </c>
      <c r="CH23" s="64">
        <f>CH10/22</f>
        <v>0</v>
      </c>
      <c r="CI23" s="64">
        <f>CI10/22</f>
        <v>0</v>
      </c>
      <c r="CJ23" s="64">
        <f>CJ10/22</f>
        <v>0</v>
      </c>
      <c r="CK23" s="64">
        <f>CK10/22</f>
        <v>0</v>
      </c>
      <c r="CL23" s="64">
        <f>CL10/22</f>
        <v>0</v>
      </c>
      <c r="CM23" s="64">
        <f>CM10/22</f>
        <v>0</v>
      </c>
      <c r="CN23" s="64">
        <f>CN10/22</f>
        <v>0</v>
      </c>
      <c r="CO23" s="64">
        <f>CO10/22</f>
        <v>0</v>
      </c>
      <c r="CP23" s="64">
        <f>CP10/22</f>
        <v>0</v>
      </c>
      <c r="CQ23" s="64">
        <f>CQ10/22</f>
        <v>0</v>
      </c>
      <c r="CR23" s="64">
        <f>CR10/22</f>
        <v>0</v>
      </c>
      <c r="CS23" s="64">
        <f>CS10/22</f>
        <v>0</v>
      </c>
      <c r="CU23" s="64">
        <f>AVERAGE(B23:CS23)</f>
        <v>0</v>
      </c>
      <c r="CW23" s="63"/>
    </row>
    <row r="24" spans="1:101" ht="14.5" x14ac:dyDescent="0.35">
      <c r="A24" s="60" t="s">
        <v>221</v>
      </c>
      <c r="B24" s="64">
        <f>B11/21</f>
        <v>0</v>
      </c>
      <c r="C24" s="64">
        <f>C11/21</f>
        <v>0</v>
      </c>
      <c r="D24" s="64">
        <f>D11/21</f>
        <v>0</v>
      </c>
      <c r="E24" s="64">
        <f>E11/21</f>
        <v>0</v>
      </c>
      <c r="F24" s="64">
        <f>F11/21</f>
        <v>0</v>
      </c>
      <c r="G24" s="64">
        <f>G11/21</f>
        <v>0</v>
      </c>
      <c r="H24" s="64">
        <f>H11/21</f>
        <v>0</v>
      </c>
      <c r="I24" s="64">
        <f>I11/21</f>
        <v>0</v>
      </c>
      <c r="J24" s="64">
        <f>J11/21</f>
        <v>0</v>
      </c>
      <c r="K24" s="64">
        <f>K11/21</f>
        <v>0</v>
      </c>
      <c r="L24" s="64">
        <f>L11/21</f>
        <v>0</v>
      </c>
      <c r="M24" s="64">
        <f>M11/21</f>
        <v>0</v>
      </c>
      <c r="N24" s="64">
        <f>N11/21</f>
        <v>0</v>
      </c>
      <c r="O24" s="64">
        <f>O11/21</f>
        <v>0</v>
      </c>
      <c r="P24" s="64">
        <f>P11/21</f>
        <v>0</v>
      </c>
      <c r="Q24" s="64">
        <f>Q11/21</f>
        <v>0</v>
      </c>
      <c r="R24" s="64">
        <f>R11/21</f>
        <v>0</v>
      </c>
      <c r="S24" s="64">
        <f>S11/21</f>
        <v>0</v>
      </c>
      <c r="T24" s="64">
        <f>T11/21</f>
        <v>0</v>
      </c>
      <c r="U24" s="64">
        <f>U11/21</f>
        <v>0</v>
      </c>
      <c r="V24" s="64">
        <f>V11/21</f>
        <v>0</v>
      </c>
      <c r="W24" s="64">
        <f>W11/21</f>
        <v>0</v>
      </c>
      <c r="X24" s="64">
        <f>X11/21</f>
        <v>0</v>
      </c>
      <c r="Y24" s="64">
        <f>Y11/21</f>
        <v>0</v>
      </c>
      <c r="Z24" s="64">
        <f>Z11/21</f>
        <v>0</v>
      </c>
      <c r="AA24" s="64">
        <f>AA11/21</f>
        <v>0</v>
      </c>
      <c r="AB24" s="64">
        <f>AB11/21</f>
        <v>0</v>
      </c>
      <c r="AC24" s="64">
        <f>AC11/21</f>
        <v>0</v>
      </c>
      <c r="AD24" s="64">
        <f>AD11/21</f>
        <v>0</v>
      </c>
      <c r="AE24" s="64">
        <f>AE11/21</f>
        <v>0</v>
      </c>
      <c r="AF24" s="64">
        <f>AF11/21</f>
        <v>0</v>
      </c>
      <c r="AG24" s="64">
        <f>AG11/21</f>
        <v>0</v>
      </c>
      <c r="AH24" s="64">
        <f>AH11/21</f>
        <v>0</v>
      </c>
      <c r="AI24" s="64">
        <f>AI11/21</f>
        <v>0</v>
      </c>
      <c r="AJ24" s="64">
        <f>AJ11/21</f>
        <v>0</v>
      </c>
      <c r="AK24" s="64">
        <f>AK11/21</f>
        <v>0</v>
      </c>
      <c r="AL24" s="64">
        <f>AL11/21</f>
        <v>0</v>
      </c>
      <c r="AM24" s="64">
        <f>AM11/21</f>
        <v>0</v>
      </c>
      <c r="AN24" s="64">
        <f>AN11/21</f>
        <v>0</v>
      </c>
      <c r="AO24" s="64">
        <f>AO11/21</f>
        <v>0</v>
      </c>
      <c r="AP24" s="64">
        <f>AP11/21</f>
        <v>0</v>
      </c>
      <c r="AQ24" s="64">
        <f>AQ11/21</f>
        <v>0</v>
      </c>
      <c r="AR24" s="64">
        <f>AR11/21</f>
        <v>0</v>
      </c>
      <c r="AS24" s="64">
        <f>AS11/21</f>
        <v>0</v>
      </c>
      <c r="AT24" s="64">
        <f>AT11/21</f>
        <v>0</v>
      </c>
      <c r="AU24" s="64">
        <f>AU11/21</f>
        <v>0</v>
      </c>
      <c r="AV24" s="64">
        <f>AV11/21</f>
        <v>0</v>
      </c>
      <c r="AW24" s="64">
        <f>AW11/21</f>
        <v>0</v>
      </c>
      <c r="AX24" s="64">
        <f>AX11/21</f>
        <v>0</v>
      </c>
      <c r="AY24" s="64">
        <f>AY11/21</f>
        <v>0</v>
      </c>
      <c r="AZ24" s="64">
        <f>AZ11/21</f>
        <v>0</v>
      </c>
      <c r="BA24" s="64">
        <f>BA11/21</f>
        <v>0</v>
      </c>
      <c r="BB24" s="64">
        <f>BB11/21</f>
        <v>0</v>
      </c>
      <c r="BC24" s="64">
        <f>BC11/21</f>
        <v>0</v>
      </c>
      <c r="BD24" s="64">
        <f>BD11/21</f>
        <v>0</v>
      </c>
      <c r="BE24" s="64">
        <f>BE11/21</f>
        <v>0</v>
      </c>
      <c r="BF24" s="64">
        <f>BF11/21</f>
        <v>0</v>
      </c>
      <c r="BG24" s="64">
        <f>BG11/21</f>
        <v>0</v>
      </c>
      <c r="BH24" s="64">
        <f>BH11/21</f>
        <v>0</v>
      </c>
      <c r="BI24" s="64">
        <f>BI11/21</f>
        <v>0</v>
      </c>
      <c r="BJ24" s="64">
        <f>BJ11/21</f>
        <v>0</v>
      </c>
      <c r="BK24" s="64">
        <f>BK11/21</f>
        <v>0</v>
      </c>
      <c r="BL24" s="64">
        <f>BL11/21</f>
        <v>0</v>
      </c>
      <c r="BM24" s="64">
        <f>BM11/21</f>
        <v>0</v>
      </c>
      <c r="BN24" s="64">
        <f>BN11/21</f>
        <v>0</v>
      </c>
      <c r="BO24" s="64">
        <f>BO11/21</f>
        <v>0</v>
      </c>
      <c r="BP24" s="64">
        <f>BP11/21</f>
        <v>0</v>
      </c>
      <c r="BQ24" s="64">
        <f>BQ11/21</f>
        <v>0</v>
      </c>
      <c r="BR24" s="64">
        <f>BR11/21</f>
        <v>0</v>
      </c>
      <c r="BS24" s="64">
        <f>BS11/21</f>
        <v>0</v>
      </c>
      <c r="BT24" s="64">
        <f>BT11/21</f>
        <v>0</v>
      </c>
      <c r="BU24" s="64">
        <f>BU11/21</f>
        <v>0</v>
      </c>
      <c r="BV24" s="64">
        <f>BV11/21</f>
        <v>0</v>
      </c>
      <c r="BW24" s="64">
        <f>BW11/21</f>
        <v>0</v>
      </c>
      <c r="BX24" s="64">
        <f>BX11/21</f>
        <v>0</v>
      </c>
      <c r="BY24" s="64">
        <f>BY11/21</f>
        <v>0</v>
      </c>
      <c r="BZ24" s="64">
        <f>BZ11/21</f>
        <v>0</v>
      </c>
      <c r="CA24" s="64">
        <f>CA11/21</f>
        <v>0</v>
      </c>
      <c r="CB24" s="64">
        <f>CB11/21</f>
        <v>0</v>
      </c>
      <c r="CC24" s="64">
        <f>CC11/21</f>
        <v>0</v>
      </c>
      <c r="CD24" s="64">
        <f>CD11/21</f>
        <v>0</v>
      </c>
      <c r="CE24" s="64">
        <f>CE11/21</f>
        <v>0</v>
      </c>
      <c r="CF24" s="64">
        <f>CF11/21</f>
        <v>0</v>
      </c>
      <c r="CG24" s="64">
        <f>CG11/21</f>
        <v>0</v>
      </c>
      <c r="CH24" s="64">
        <f>CH11/21</f>
        <v>0</v>
      </c>
      <c r="CI24" s="64">
        <f>CI11/21</f>
        <v>0</v>
      </c>
      <c r="CJ24" s="64">
        <f>CJ11/21</f>
        <v>0</v>
      </c>
      <c r="CK24" s="64">
        <f>CK11/21</f>
        <v>0</v>
      </c>
      <c r="CL24" s="64">
        <f>CL11/21</f>
        <v>0</v>
      </c>
      <c r="CM24" s="64">
        <f>CM11/21</f>
        <v>0</v>
      </c>
      <c r="CN24" s="64">
        <f>CN11/21</f>
        <v>0</v>
      </c>
      <c r="CO24" s="64">
        <f>CO11/21</f>
        <v>0</v>
      </c>
      <c r="CP24" s="64">
        <f>CP11/21</f>
        <v>0</v>
      </c>
      <c r="CQ24" s="64">
        <f>CQ11/21</f>
        <v>0</v>
      </c>
      <c r="CR24" s="64">
        <f>CR11/21</f>
        <v>0</v>
      </c>
      <c r="CS24" s="64">
        <f>CS11/21</f>
        <v>0</v>
      </c>
      <c r="CU24" s="64">
        <f>AVERAGE(B24:CS24)</f>
        <v>0</v>
      </c>
      <c r="CW24" s="63"/>
    </row>
    <row r="25" spans="1:101" ht="14.5" x14ac:dyDescent="0.35">
      <c r="A25" s="60" t="s">
        <v>222</v>
      </c>
      <c r="B25" s="64">
        <f>B12/22</f>
        <v>0</v>
      </c>
      <c r="C25" s="64">
        <f>C12/22</f>
        <v>0</v>
      </c>
      <c r="D25" s="64">
        <f>D12/22</f>
        <v>0</v>
      </c>
      <c r="E25" s="64">
        <f>E12/22</f>
        <v>0</v>
      </c>
      <c r="F25" s="64">
        <f>F12/22</f>
        <v>0</v>
      </c>
      <c r="G25" s="64">
        <f>G12/22</f>
        <v>0</v>
      </c>
      <c r="H25" s="64">
        <f>H12/22</f>
        <v>0</v>
      </c>
      <c r="I25" s="64">
        <f>I12/22</f>
        <v>0</v>
      </c>
      <c r="J25" s="64">
        <f>J12/22</f>
        <v>0</v>
      </c>
      <c r="K25" s="64">
        <f>K12/22</f>
        <v>0</v>
      </c>
      <c r="L25" s="64">
        <f>L12/22</f>
        <v>0</v>
      </c>
      <c r="M25" s="64">
        <f>M12/22</f>
        <v>0</v>
      </c>
      <c r="N25" s="64">
        <f>N12/22</f>
        <v>0</v>
      </c>
      <c r="O25" s="64">
        <f>O12/22</f>
        <v>0</v>
      </c>
      <c r="P25" s="64">
        <f>P12/22</f>
        <v>0</v>
      </c>
      <c r="Q25" s="64">
        <f>Q12/22</f>
        <v>0</v>
      </c>
      <c r="R25" s="64">
        <f>R12/22</f>
        <v>0</v>
      </c>
      <c r="S25" s="64">
        <f>S12/22</f>
        <v>0</v>
      </c>
      <c r="T25" s="64">
        <f>T12/22</f>
        <v>0</v>
      </c>
      <c r="U25" s="64">
        <f>U12/22</f>
        <v>0</v>
      </c>
      <c r="V25" s="64">
        <f>V12/22</f>
        <v>0</v>
      </c>
      <c r="W25" s="64">
        <f>W12/22</f>
        <v>0</v>
      </c>
      <c r="X25" s="64">
        <f>X12/22</f>
        <v>0</v>
      </c>
      <c r="Y25" s="64">
        <f>Y12/22</f>
        <v>0</v>
      </c>
      <c r="Z25" s="64">
        <f>Z12/22</f>
        <v>0</v>
      </c>
      <c r="AA25" s="64">
        <f>AA12/22</f>
        <v>0</v>
      </c>
      <c r="AB25" s="64">
        <f>AB12/22</f>
        <v>0</v>
      </c>
      <c r="AC25" s="64">
        <f>AC12/22</f>
        <v>0</v>
      </c>
      <c r="AD25" s="64">
        <f>AD12/22</f>
        <v>0</v>
      </c>
      <c r="AE25" s="64">
        <f>AE12/22</f>
        <v>0</v>
      </c>
      <c r="AF25" s="64">
        <f>AF12/22</f>
        <v>0</v>
      </c>
      <c r="AG25" s="64">
        <f>AG12/22</f>
        <v>0</v>
      </c>
      <c r="AH25" s="64">
        <f>AH12/22</f>
        <v>0</v>
      </c>
      <c r="AI25" s="64">
        <f>AI12/22</f>
        <v>0</v>
      </c>
      <c r="AJ25" s="64">
        <f>AJ12/22</f>
        <v>0</v>
      </c>
      <c r="AK25" s="64">
        <f>AK12/22</f>
        <v>0</v>
      </c>
      <c r="AL25" s="64">
        <f>AL12/22</f>
        <v>0</v>
      </c>
      <c r="AM25" s="64">
        <f>AM12/22</f>
        <v>0</v>
      </c>
      <c r="AN25" s="64">
        <f>AN12/22</f>
        <v>0</v>
      </c>
      <c r="AO25" s="64">
        <f>AO12/22</f>
        <v>0</v>
      </c>
      <c r="AP25" s="64">
        <f>AP12/22</f>
        <v>0</v>
      </c>
      <c r="AQ25" s="64">
        <f>AQ12/22</f>
        <v>0</v>
      </c>
      <c r="AR25" s="64">
        <f>AR12/22</f>
        <v>0</v>
      </c>
      <c r="AS25" s="64">
        <f>AS12/22</f>
        <v>0</v>
      </c>
      <c r="AT25" s="64">
        <f>AT12/22</f>
        <v>0</v>
      </c>
      <c r="AU25" s="64">
        <f>AU12/22</f>
        <v>0</v>
      </c>
      <c r="AV25" s="64">
        <f>AV12/22</f>
        <v>0</v>
      </c>
      <c r="AW25" s="64">
        <f>AW12/22</f>
        <v>0</v>
      </c>
      <c r="AX25" s="64">
        <f>AX12/22</f>
        <v>0</v>
      </c>
      <c r="AY25" s="64">
        <f>AY12/22</f>
        <v>0</v>
      </c>
      <c r="AZ25" s="64">
        <f>AZ12/22</f>
        <v>0</v>
      </c>
      <c r="BA25" s="64">
        <f>BA12/22</f>
        <v>0</v>
      </c>
      <c r="BB25" s="64">
        <f>BB12/22</f>
        <v>0</v>
      </c>
      <c r="BC25" s="64">
        <f>BC12/22</f>
        <v>0</v>
      </c>
      <c r="BD25" s="64">
        <f>BD12/22</f>
        <v>0</v>
      </c>
      <c r="BE25" s="64">
        <f>BE12/22</f>
        <v>0</v>
      </c>
      <c r="BF25" s="64">
        <f>BF12/22</f>
        <v>0</v>
      </c>
      <c r="BG25" s="64">
        <f>BG12/22</f>
        <v>0</v>
      </c>
      <c r="BH25" s="64">
        <f>BH12/22</f>
        <v>0</v>
      </c>
      <c r="BI25" s="64">
        <f>BI12/22</f>
        <v>0</v>
      </c>
      <c r="BJ25" s="64">
        <f>BJ12/22</f>
        <v>0</v>
      </c>
      <c r="BK25" s="64">
        <f>BK12/22</f>
        <v>0</v>
      </c>
      <c r="BL25" s="64">
        <f>BL12/22</f>
        <v>0</v>
      </c>
      <c r="BM25" s="64">
        <f>BM12/22</f>
        <v>0</v>
      </c>
      <c r="BN25" s="64">
        <f>BN12/22</f>
        <v>0</v>
      </c>
      <c r="BO25" s="64">
        <f>BO12/22</f>
        <v>0</v>
      </c>
      <c r="BP25" s="64">
        <f>BP12/22</f>
        <v>0</v>
      </c>
      <c r="BQ25" s="64">
        <f>BQ12/22</f>
        <v>0</v>
      </c>
      <c r="BR25" s="64">
        <f>BR12/22</f>
        <v>0</v>
      </c>
      <c r="BS25" s="64">
        <f>BS12/22</f>
        <v>0</v>
      </c>
      <c r="BT25" s="64">
        <f>BT12/22</f>
        <v>0</v>
      </c>
      <c r="BU25" s="64">
        <f>BU12/22</f>
        <v>0</v>
      </c>
      <c r="BV25" s="64">
        <f>BV12/22</f>
        <v>0</v>
      </c>
      <c r="BW25" s="64">
        <f>BW12/22</f>
        <v>0</v>
      </c>
      <c r="BX25" s="64">
        <f>BX12/22</f>
        <v>0</v>
      </c>
      <c r="BY25" s="64">
        <f>BY12/22</f>
        <v>0</v>
      </c>
      <c r="BZ25" s="64">
        <f>BZ12/22</f>
        <v>0</v>
      </c>
      <c r="CA25" s="64">
        <f>CA12/22</f>
        <v>0</v>
      </c>
      <c r="CB25" s="64">
        <f>CB12/22</f>
        <v>0</v>
      </c>
      <c r="CC25" s="64">
        <f>CC12/22</f>
        <v>0</v>
      </c>
      <c r="CD25" s="64">
        <f>CD12/22</f>
        <v>0</v>
      </c>
      <c r="CE25" s="64">
        <f>CE12/22</f>
        <v>0</v>
      </c>
      <c r="CF25" s="64">
        <f>CF12/22</f>
        <v>0</v>
      </c>
      <c r="CG25" s="64">
        <f>CG12/22</f>
        <v>0</v>
      </c>
      <c r="CH25" s="64">
        <f>CH12/22</f>
        <v>0</v>
      </c>
      <c r="CI25" s="64">
        <f>CI12/22</f>
        <v>0</v>
      </c>
      <c r="CJ25" s="64">
        <f>CJ12/22</f>
        <v>0</v>
      </c>
      <c r="CK25" s="64">
        <f>CK12/22</f>
        <v>0</v>
      </c>
      <c r="CL25" s="64">
        <f>CL12/22</f>
        <v>0</v>
      </c>
      <c r="CM25" s="64">
        <f>CM12/22</f>
        <v>0</v>
      </c>
      <c r="CN25" s="64">
        <f>CN12/22</f>
        <v>0</v>
      </c>
      <c r="CO25" s="64">
        <f>CO12/22</f>
        <v>0</v>
      </c>
      <c r="CP25" s="64">
        <f>CP12/22</f>
        <v>0</v>
      </c>
      <c r="CQ25" s="64">
        <f>CQ12/22</f>
        <v>0</v>
      </c>
      <c r="CR25" s="64">
        <f>CR12/22</f>
        <v>0</v>
      </c>
      <c r="CS25" s="64">
        <f>CS12/22</f>
        <v>0</v>
      </c>
      <c r="CU25" s="64">
        <f>AVERAGE(B25:CS25)</f>
        <v>0</v>
      </c>
      <c r="CW25" s="63"/>
    </row>
    <row r="26" spans="1:101" ht="14.5" x14ac:dyDescent="0.35">
      <c r="A26" s="60" t="s">
        <v>223</v>
      </c>
      <c r="B26" s="64">
        <f>B13/22</f>
        <v>0</v>
      </c>
      <c r="C26" s="64">
        <f>C13/22</f>
        <v>0</v>
      </c>
      <c r="D26" s="64">
        <f>D13/22</f>
        <v>0</v>
      </c>
      <c r="E26" s="64">
        <f>E13/22</f>
        <v>0</v>
      </c>
      <c r="F26" s="64">
        <f>F13/22</f>
        <v>0</v>
      </c>
      <c r="G26" s="64">
        <f>G13/22</f>
        <v>0</v>
      </c>
      <c r="H26" s="64">
        <f>H13/22</f>
        <v>0</v>
      </c>
      <c r="I26" s="64">
        <f>I13/22</f>
        <v>0</v>
      </c>
      <c r="J26" s="64">
        <f>J13/22</f>
        <v>0</v>
      </c>
      <c r="K26" s="64">
        <f>K13/22</f>
        <v>0</v>
      </c>
      <c r="L26" s="64">
        <f>L13/22</f>
        <v>0</v>
      </c>
      <c r="M26" s="64">
        <f>M13/22</f>
        <v>0</v>
      </c>
      <c r="N26" s="64">
        <f>N13/22</f>
        <v>0</v>
      </c>
      <c r="O26" s="64">
        <f>O13/22</f>
        <v>0</v>
      </c>
      <c r="P26" s="64">
        <f>P13/22</f>
        <v>0</v>
      </c>
      <c r="Q26" s="64">
        <f>Q13/22</f>
        <v>0</v>
      </c>
      <c r="R26" s="64">
        <f>R13/22</f>
        <v>0</v>
      </c>
      <c r="S26" s="64">
        <f>S13/22</f>
        <v>0</v>
      </c>
      <c r="T26" s="64">
        <f>T13/22</f>
        <v>0</v>
      </c>
      <c r="U26" s="64">
        <f>U13/22</f>
        <v>0</v>
      </c>
      <c r="V26" s="64">
        <f>V13/22</f>
        <v>0</v>
      </c>
      <c r="W26" s="64">
        <f>W13/22</f>
        <v>0</v>
      </c>
      <c r="X26" s="64">
        <f>X13/22</f>
        <v>0</v>
      </c>
      <c r="Y26" s="64">
        <f>Y13/22</f>
        <v>0</v>
      </c>
      <c r="Z26" s="64">
        <f>Z13/22</f>
        <v>0</v>
      </c>
      <c r="AA26" s="64">
        <f>AA13/22</f>
        <v>0</v>
      </c>
      <c r="AB26" s="64">
        <f>AB13/22</f>
        <v>0</v>
      </c>
      <c r="AC26" s="64">
        <f>AC13/22</f>
        <v>0</v>
      </c>
      <c r="AD26" s="64">
        <f>AD13/22</f>
        <v>0</v>
      </c>
      <c r="AE26" s="64">
        <f>AE13/22</f>
        <v>0</v>
      </c>
      <c r="AF26" s="64">
        <f>AF13/22</f>
        <v>0</v>
      </c>
      <c r="AG26" s="64">
        <f>AG13/22</f>
        <v>0</v>
      </c>
      <c r="AH26" s="64">
        <f>AH13/22</f>
        <v>0</v>
      </c>
      <c r="AI26" s="64">
        <f>AI13/22</f>
        <v>0</v>
      </c>
      <c r="AJ26" s="64">
        <f>AJ13/22</f>
        <v>0</v>
      </c>
      <c r="AK26" s="64">
        <f>AK13/22</f>
        <v>0</v>
      </c>
      <c r="AL26" s="64">
        <f>AL13/22</f>
        <v>0</v>
      </c>
      <c r="AM26" s="64">
        <f>AM13/22</f>
        <v>0</v>
      </c>
      <c r="AN26" s="64">
        <f>AN13/22</f>
        <v>0</v>
      </c>
      <c r="AO26" s="64">
        <f>AO13/22</f>
        <v>0</v>
      </c>
      <c r="AP26" s="64">
        <f>AP13/22</f>
        <v>0</v>
      </c>
      <c r="AQ26" s="64">
        <f>AQ13/22</f>
        <v>0</v>
      </c>
      <c r="AR26" s="64">
        <f>AR13/22</f>
        <v>0</v>
      </c>
      <c r="AS26" s="64">
        <f>AS13/22</f>
        <v>0</v>
      </c>
      <c r="AT26" s="64">
        <f>AT13/22</f>
        <v>0</v>
      </c>
      <c r="AU26" s="64">
        <f>AU13/22</f>
        <v>0</v>
      </c>
      <c r="AV26" s="64">
        <f>AV13/22</f>
        <v>0</v>
      </c>
      <c r="AW26" s="64">
        <f>AW13/22</f>
        <v>0</v>
      </c>
      <c r="AX26" s="64">
        <f>AX13/22</f>
        <v>0</v>
      </c>
      <c r="AY26" s="64">
        <f>AY13/22</f>
        <v>0</v>
      </c>
      <c r="AZ26" s="64">
        <f>AZ13/22</f>
        <v>0</v>
      </c>
      <c r="BA26" s="64">
        <f>BA13/22</f>
        <v>0</v>
      </c>
      <c r="BB26" s="64">
        <f>BB13/22</f>
        <v>0</v>
      </c>
      <c r="BC26" s="64">
        <f>BC13/22</f>
        <v>0</v>
      </c>
      <c r="BD26" s="64">
        <f>BD13/22</f>
        <v>0</v>
      </c>
      <c r="BE26" s="64">
        <f>BE13/22</f>
        <v>0</v>
      </c>
      <c r="BF26" s="64">
        <f>BF13/22</f>
        <v>0</v>
      </c>
      <c r="BG26" s="64">
        <f>BG13/22</f>
        <v>0</v>
      </c>
      <c r="BH26" s="64">
        <f>BH13/22</f>
        <v>0</v>
      </c>
      <c r="BI26" s="64">
        <f>BI13/22</f>
        <v>0</v>
      </c>
      <c r="BJ26" s="64">
        <f>BJ13/22</f>
        <v>0</v>
      </c>
      <c r="BK26" s="64">
        <f>BK13/22</f>
        <v>0</v>
      </c>
      <c r="BL26" s="64">
        <f>BL13/22</f>
        <v>0</v>
      </c>
      <c r="BM26" s="64">
        <f>BM13/22</f>
        <v>0</v>
      </c>
      <c r="BN26" s="64">
        <f>BN13/22</f>
        <v>0</v>
      </c>
      <c r="BO26" s="64">
        <f>BO13/22</f>
        <v>0</v>
      </c>
      <c r="BP26" s="64">
        <f>BP13/22</f>
        <v>0</v>
      </c>
      <c r="BQ26" s="64">
        <f>BQ13/22</f>
        <v>0</v>
      </c>
      <c r="BR26" s="64">
        <f>BR13/22</f>
        <v>0</v>
      </c>
      <c r="BS26" s="64">
        <f>BS13/22</f>
        <v>0</v>
      </c>
      <c r="BT26" s="64">
        <f>BT13/22</f>
        <v>0</v>
      </c>
      <c r="BU26" s="64">
        <f>BU13/22</f>
        <v>0</v>
      </c>
      <c r="BV26" s="64">
        <f>BV13/22</f>
        <v>0</v>
      </c>
      <c r="BW26" s="64">
        <f>BW13/22</f>
        <v>0</v>
      </c>
      <c r="BX26" s="64">
        <f>BX13/22</f>
        <v>0</v>
      </c>
      <c r="BY26" s="64">
        <f>BY13/22</f>
        <v>0</v>
      </c>
      <c r="BZ26" s="64">
        <f>BZ13/22</f>
        <v>0</v>
      </c>
      <c r="CA26" s="64">
        <f>CA13/22</f>
        <v>0</v>
      </c>
      <c r="CB26" s="64">
        <f>CB13/22</f>
        <v>0</v>
      </c>
      <c r="CC26" s="64">
        <f>CC13/22</f>
        <v>0</v>
      </c>
      <c r="CD26" s="64">
        <f>CD13/22</f>
        <v>0</v>
      </c>
      <c r="CE26" s="64">
        <f>CE13/22</f>
        <v>0</v>
      </c>
      <c r="CF26" s="64">
        <f>CF13/22</f>
        <v>0</v>
      </c>
      <c r="CG26" s="64">
        <f>CG13/22</f>
        <v>0</v>
      </c>
      <c r="CH26" s="64">
        <f>CH13/22</f>
        <v>0</v>
      </c>
      <c r="CI26" s="64">
        <f>CI13/22</f>
        <v>0</v>
      </c>
      <c r="CJ26" s="64">
        <f>CJ13/22</f>
        <v>0</v>
      </c>
      <c r="CK26" s="64">
        <f>CK13/22</f>
        <v>0</v>
      </c>
      <c r="CL26" s="64">
        <f>CL13/22</f>
        <v>0</v>
      </c>
      <c r="CM26" s="64">
        <f>CM13/22</f>
        <v>0</v>
      </c>
      <c r="CN26" s="64">
        <f>CN13/22</f>
        <v>0</v>
      </c>
      <c r="CO26" s="64">
        <f>CO13/22</f>
        <v>0</v>
      </c>
      <c r="CP26" s="64">
        <f>CP13/22</f>
        <v>0</v>
      </c>
      <c r="CQ26" s="64">
        <f>CQ13/22</f>
        <v>0</v>
      </c>
      <c r="CR26" s="64">
        <f>CR13/22</f>
        <v>0</v>
      </c>
      <c r="CS26" s="64">
        <f>CS13/22</f>
        <v>0</v>
      </c>
      <c r="CU26" s="64">
        <f>AVERAGE(B26:CS26)</f>
        <v>0</v>
      </c>
      <c r="CW26" s="63"/>
    </row>
    <row r="27" spans="1:101" ht="7.5" customHeight="1" x14ac:dyDescent="0.35">
      <c r="A27" s="60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U27" s="64"/>
      <c r="CW27" s="63"/>
    </row>
    <row r="28" spans="1:101" ht="13" x14ac:dyDescent="0.35">
      <c r="A28" s="60" t="s">
        <v>224</v>
      </c>
      <c r="B28" s="62">
        <f>SUM(B2:B13)</f>
        <v>7</v>
      </c>
      <c r="C28" s="62">
        <f t="shared" ref="C28:BN28" si="3">SUM(C2:C13)</f>
        <v>0</v>
      </c>
      <c r="D28" s="62">
        <f t="shared" si="3"/>
        <v>9</v>
      </c>
      <c r="E28" s="62">
        <f t="shared" si="3"/>
        <v>8</v>
      </c>
      <c r="F28" s="62">
        <f t="shared" si="3"/>
        <v>3</v>
      </c>
      <c r="G28" s="62">
        <f t="shared" si="3"/>
        <v>5</v>
      </c>
      <c r="H28" s="62">
        <f t="shared" si="3"/>
        <v>7</v>
      </c>
      <c r="I28" s="62">
        <f t="shared" si="3"/>
        <v>4</v>
      </c>
      <c r="J28" s="62">
        <f t="shared" si="3"/>
        <v>1</v>
      </c>
      <c r="K28" s="62">
        <f t="shared" si="3"/>
        <v>5</v>
      </c>
      <c r="L28" s="62">
        <f t="shared" si="3"/>
        <v>1</v>
      </c>
      <c r="M28" s="62">
        <f t="shared" si="3"/>
        <v>0</v>
      </c>
      <c r="N28" s="62">
        <f t="shared" si="3"/>
        <v>13</v>
      </c>
      <c r="O28" s="62">
        <f t="shared" si="3"/>
        <v>8</v>
      </c>
      <c r="P28" s="62">
        <f t="shared" si="3"/>
        <v>5</v>
      </c>
      <c r="Q28" s="62">
        <f t="shared" si="3"/>
        <v>10</v>
      </c>
      <c r="R28" s="62">
        <f t="shared" si="3"/>
        <v>0</v>
      </c>
      <c r="S28" s="62">
        <f t="shared" si="3"/>
        <v>0</v>
      </c>
      <c r="T28" s="62">
        <f t="shared" si="3"/>
        <v>6</v>
      </c>
      <c r="U28" s="62">
        <f t="shared" si="3"/>
        <v>5</v>
      </c>
      <c r="V28" s="62">
        <f t="shared" si="3"/>
        <v>9</v>
      </c>
      <c r="W28" s="62">
        <f t="shared" si="3"/>
        <v>12</v>
      </c>
      <c r="X28" s="62">
        <f t="shared" si="3"/>
        <v>4</v>
      </c>
      <c r="Y28" s="62">
        <f t="shared" si="3"/>
        <v>4</v>
      </c>
      <c r="Z28" s="62">
        <f t="shared" si="3"/>
        <v>4</v>
      </c>
      <c r="AA28" s="62">
        <f t="shared" si="3"/>
        <v>3</v>
      </c>
      <c r="AB28" s="62">
        <f t="shared" si="3"/>
        <v>0</v>
      </c>
      <c r="AC28" s="62">
        <f t="shared" si="3"/>
        <v>5</v>
      </c>
      <c r="AD28" s="62">
        <f t="shared" si="3"/>
        <v>2</v>
      </c>
      <c r="AE28" s="62">
        <f t="shared" si="3"/>
        <v>1</v>
      </c>
      <c r="AF28" s="62">
        <f t="shared" si="3"/>
        <v>9</v>
      </c>
      <c r="AG28" s="62">
        <f t="shared" si="3"/>
        <v>4</v>
      </c>
      <c r="AH28" s="62">
        <f t="shared" si="3"/>
        <v>0</v>
      </c>
      <c r="AI28" s="62">
        <f t="shared" si="3"/>
        <v>7</v>
      </c>
      <c r="AJ28" s="62">
        <f t="shared" si="3"/>
        <v>4</v>
      </c>
      <c r="AK28" s="62">
        <f t="shared" si="3"/>
        <v>0</v>
      </c>
      <c r="AL28" s="62">
        <f t="shared" si="3"/>
        <v>0</v>
      </c>
      <c r="AM28" s="62">
        <f t="shared" si="3"/>
        <v>4</v>
      </c>
      <c r="AN28" s="62">
        <f t="shared" si="3"/>
        <v>4</v>
      </c>
      <c r="AO28" s="62">
        <f t="shared" si="3"/>
        <v>0</v>
      </c>
      <c r="AP28" s="62">
        <f t="shared" si="3"/>
        <v>6</v>
      </c>
      <c r="AQ28" s="62">
        <f t="shared" si="3"/>
        <v>4</v>
      </c>
      <c r="AR28" s="62">
        <f t="shared" si="3"/>
        <v>4</v>
      </c>
      <c r="AS28" s="62">
        <f t="shared" si="3"/>
        <v>0</v>
      </c>
      <c r="AT28" s="62">
        <f t="shared" si="3"/>
        <v>1</v>
      </c>
      <c r="AU28" s="62">
        <f t="shared" si="3"/>
        <v>5</v>
      </c>
      <c r="AV28" s="62">
        <f t="shared" si="3"/>
        <v>1</v>
      </c>
      <c r="AW28" s="62">
        <f t="shared" si="3"/>
        <v>4</v>
      </c>
      <c r="AX28" s="62">
        <f t="shared" si="3"/>
        <v>2</v>
      </c>
      <c r="AY28" s="62">
        <f t="shared" si="3"/>
        <v>5</v>
      </c>
      <c r="AZ28" s="62">
        <f t="shared" si="3"/>
        <v>9</v>
      </c>
      <c r="BA28" s="62">
        <f t="shared" si="3"/>
        <v>2</v>
      </c>
      <c r="BB28" s="62">
        <f t="shared" si="3"/>
        <v>0</v>
      </c>
      <c r="BC28" s="62">
        <f t="shared" si="3"/>
        <v>3</v>
      </c>
      <c r="BD28" s="62">
        <f t="shared" si="3"/>
        <v>12</v>
      </c>
      <c r="BE28" s="62">
        <f t="shared" si="3"/>
        <v>5</v>
      </c>
      <c r="BF28" s="62">
        <f t="shared" si="3"/>
        <v>8</v>
      </c>
      <c r="BG28" s="62">
        <f t="shared" si="3"/>
        <v>2</v>
      </c>
      <c r="BH28" s="62">
        <f t="shared" si="3"/>
        <v>1</v>
      </c>
      <c r="BI28" s="62">
        <f t="shared" si="3"/>
        <v>0</v>
      </c>
      <c r="BJ28" s="62">
        <f t="shared" si="3"/>
        <v>4</v>
      </c>
      <c r="BK28" s="62">
        <f t="shared" si="3"/>
        <v>4</v>
      </c>
      <c r="BL28" s="62">
        <f t="shared" si="3"/>
        <v>6</v>
      </c>
      <c r="BM28" s="62">
        <f t="shared" si="3"/>
        <v>7</v>
      </c>
      <c r="BN28" s="62">
        <f t="shared" si="3"/>
        <v>7</v>
      </c>
      <c r="BO28" s="62">
        <f t="shared" ref="BO28:CS28" si="4">SUM(BO2:BO13)</f>
        <v>6</v>
      </c>
      <c r="BP28" s="62">
        <f t="shared" si="4"/>
        <v>5</v>
      </c>
      <c r="BQ28" s="62">
        <f t="shared" si="4"/>
        <v>32</v>
      </c>
      <c r="BR28" s="62">
        <f t="shared" si="4"/>
        <v>5</v>
      </c>
      <c r="BS28" s="62">
        <f t="shared" si="4"/>
        <v>3</v>
      </c>
      <c r="BT28" s="62">
        <f t="shared" si="4"/>
        <v>4</v>
      </c>
      <c r="BU28" s="62">
        <f t="shared" si="4"/>
        <v>14</v>
      </c>
      <c r="BV28" s="62">
        <f t="shared" si="4"/>
        <v>1</v>
      </c>
      <c r="BW28" s="62">
        <f t="shared" si="4"/>
        <v>0</v>
      </c>
      <c r="BX28" s="62">
        <f t="shared" si="4"/>
        <v>0</v>
      </c>
      <c r="BY28" s="62">
        <f t="shared" si="4"/>
        <v>3</v>
      </c>
      <c r="BZ28" s="62">
        <f t="shared" si="4"/>
        <v>27</v>
      </c>
      <c r="CA28" s="62">
        <f t="shared" si="4"/>
        <v>8</v>
      </c>
      <c r="CB28" s="62">
        <f t="shared" si="4"/>
        <v>5</v>
      </c>
      <c r="CC28" s="62">
        <f t="shared" si="4"/>
        <v>3</v>
      </c>
      <c r="CD28" s="62">
        <f t="shared" si="4"/>
        <v>2</v>
      </c>
      <c r="CE28" s="62">
        <f t="shared" si="4"/>
        <v>0</v>
      </c>
      <c r="CF28" s="62">
        <f t="shared" si="4"/>
        <v>5</v>
      </c>
      <c r="CG28" s="62">
        <f t="shared" si="4"/>
        <v>11</v>
      </c>
      <c r="CH28" s="62">
        <f t="shared" si="4"/>
        <v>1</v>
      </c>
      <c r="CI28" s="62">
        <f t="shared" si="4"/>
        <v>3</v>
      </c>
      <c r="CJ28" s="62">
        <f t="shared" si="4"/>
        <v>7</v>
      </c>
      <c r="CK28" s="62">
        <f t="shared" si="4"/>
        <v>0</v>
      </c>
      <c r="CL28" s="62">
        <f t="shared" si="4"/>
        <v>1</v>
      </c>
      <c r="CM28" s="62">
        <f t="shared" si="4"/>
        <v>6</v>
      </c>
      <c r="CN28" s="62">
        <f t="shared" si="4"/>
        <v>0</v>
      </c>
      <c r="CO28" s="62">
        <f t="shared" si="4"/>
        <v>8</v>
      </c>
      <c r="CP28" s="62">
        <f t="shared" si="4"/>
        <v>4</v>
      </c>
      <c r="CQ28" s="62">
        <f t="shared" si="4"/>
        <v>4</v>
      </c>
      <c r="CR28" s="62">
        <f t="shared" si="4"/>
        <v>3</v>
      </c>
      <c r="CS28" s="62">
        <f t="shared" si="4"/>
        <v>5</v>
      </c>
      <c r="CU28" s="63">
        <f>AVERAGE(B28:CS28)</f>
        <v>4.697916666666667</v>
      </c>
      <c r="CV28" s="63">
        <f>_xlfn.STDEV.S(B28:CS28)</f>
        <v>4.9292249666585342</v>
      </c>
      <c r="CW28" s="63">
        <f t="shared" si="2"/>
        <v>1.0492363565392888</v>
      </c>
    </row>
    <row r="29" spans="1:101" ht="14.5" x14ac:dyDescent="0.35">
      <c r="A29" s="60" t="s">
        <v>225</v>
      </c>
      <c r="B29" s="64">
        <f>B28/260</f>
        <v>2.6923076923076925E-2</v>
      </c>
      <c r="C29" s="64">
        <f>C28/260</f>
        <v>0</v>
      </c>
      <c r="D29" s="64">
        <f>D28/260</f>
        <v>3.4615384615384617E-2</v>
      </c>
      <c r="E29" s="64">
        <f>E28/260</f>
        <v>3.0769230769230771E-2</v>
      </c>
      <c r="F29" s="64">
        <f>F28/260</f>
        <v>1.1538461538461539E-2</v>
      </c>
      <c r="G29" s="64">
        <f>G28/260</f>
        <v>1.9230769230769232E-2</v>
      </c>
      <c r="H29" s="64">
        <f>H28/260</f>
        <v>2.6923076923076925E-2</v>
      </c>
      <c r="I29" s="64">
        <f>I28/260</f>
        <v>1.5384615384615385E-2</v>
      </c>
      <c r="J29" s="64">
        <f>J28/260</f>
        <v>3.8461538461538464E-3</v>
      </c>
      <c r="K29" s="64">
        <f>K28/260</f>
        <v>1.9230769230769232E-2</v>
      </c>
      <c r="L29" s="64">
        <f>L28/260</f>
        <v>3.8461538461538464E-3</v>
      </c>
      <c r="M29" s="64">
        <f>M28/260</f>
        <v>0</v>
      </c>
      <c r="N29" s="64">
        <f>N28/260</f>
        <v>0.05</v>
      </c>
      <c r="O29" s="64">
        <f>O28/260</f>
        <v>3.0769230769230771E-2</v>
      </c>
      <c r="P29" s="64">
        <f>P28/260</f>
        <v>1.9230769230769232E-2</v>
      </c>
      <c r="Q29" s="64">
        <f>Q28/260</f>
        <v>3.8461538461538464E-2</v>
      </c>
      <c r="R29" s="64">
        <f>R28/260</f>
        <v>0</v>
      </c>
      <c r="S29" s="64">
        <f>S28/260</f>
        <v>0</v>
      </c>
      <c r="T29" s="64">
        <f>T28/260</f>
        <v>2.3076923076923078E-2</v>
      </c>
      <c r="U29" s="64">
        <f>U28/260</f>
        <v>1.9230769230769232E-2</v>
      </c>
      <c r="V29" s="64">
        <f>V28/260</f>
        <v>3.4615384615384617E-2</v>
      </c>
      <c r="W29" s="64">
        <f>W28/260</f>
        <v>4.6153846153846156E-2</v>
      </c>
      <c r="X29" s="64">
        <f>X28/260</f>
        <v>1.5384615384615385E-2</v>
      </c>
      <c r="Y29" s="64">
        <f>Y28/260</f>
        <v>1.5384615384615385E-2</v>
      </c>
      <c r="Z29" s="64">
        <f>Z28/260</f>
        <v>1.5384615384615385E-2</v>
      </c>
      <c r="AA29" s="64">
        <f>AA28/260</f>
        <v>1.1538461538461539E-2</v>
      </c>
      <c r="AB29" s="64">
        <f>AB28/260</f>
        <v>0</v>
      </c>
      <c r="AC29" s="64">
        <f>AC28/260</f>
        <v>1.9230769230769232E-2</v>
      </c>
      <c r="AD29" s="64">
        <f>AD28/260</f>
        <v>7.6923076923076927E-3</v>
      </c>
      <c r="AE29" s="64">
        <f>AE28/260</f>
        <v>3.8461538461538464E-3</v>
      </c>
      <c r="AF29" s="64">
        <f>AF28/260</f>
        <v>3.4615384615384617E-2</v>
      </c>
      <c r="AG29" s="64">
        <f>AG28/260</f>
        <v>1.5384615384615385E-2</v>
      </c>
      <c r="AH29" s="64">
        <f>AH28/260</f>
        <v>0</v>
      </c>
      <c r="AI29" s="64">
        <f>AI28/260</f>
        <v>2.6923076923076925E-2</v>
      </c>
      <c r="AJ29" s="64">
        <f>AJ28/260</f>
        <v>1.5384615384615385E-2</v>
      </c>
      <c r="AK29" s="64">
        <f>AK28/260</f>
        <v>0</v>
      </c>
      <c r="AL29" s="64">
        <f>AL28/260</f>
        <v>0</v>
      </c>
      <c r="AM29" s="64">
        <f>AM28/260</f>
        <v>1.5384615384615385E-2</v>
      </c>
      <c r="AN29" s="64">
        <f>AN28/260</f>
        <v>1.5384615384615385E-2</v>
      </c>
      <c r="AO29" s="64">
        <f>AO28/260</f>
        <v>0</v>
      </c>
      <c r="AP29" s="64">
        <f>AP28/260</f>
        <v>2.3076923076923078E-2</v>
      </c>
      <c r="AQ29" s="64">
        <f>AQ28/260</f>
        <v>1.5384615384615385E-2</v>
      </c>
      <c r="AR29" s="64">
        <f>AR28/260</f>
        <v>1.5384615384615385E-2</v>
      </c>
      <c r="AS29" s="64">
        <f>AS28/260</f>
        <v>0</v>
      </c>
      <c r="AT29" s="64">
        <f>AT28/260</f>
        <v>3.8461538461538464E-3</v>
      </c>
      <c r="AU29" s="64">
        <f>AU28/260</f>
        <v>1.9230769230769232E-2</v>
      </c>
      <c r="AV29" s="64">
        <f>AV28/260</f>
        <v>3.8461538461538464E-3</v>
      </c>
      <c r="AW29" s="64">
        <f>AW28/260</f>
        <v>1.5384615384615385E-2</v>
      </c>
      <c r="AX29" s="64">
        <f>AX28/260</f>
        <v>7.6923076923076927E-3</v>
      </c>
      <c r="AY29" s="64">
        <f>AY28/260</f>
        <v>1.9230769230769232E-2</v>
      </c>
      <c r="AZ29" s="64">
        <f>AZ28/260</f>
        <v>3.4615384615384617E-2</v>
      </c>
      <c r="BA29" s="64">
        <f>BA28/260</f>
        <v>7.6923076923076927E-3</v>
      </c>
      <c r="BB29" s="64">
        <f>BB28/260</f>
        <v>0</v>
      </c>
      <c r="BC29" s="64">
        <f>BC28/260</f>
        <v>1.1538461538461539E-2</v>
      </c>
      <c r="BD29" s="64">
        <f>BD28/260</f>
        <v>4.6153846153846156E-2</v>
      </c>
      <c r="BE29" s="64">
        <f>BE28/260</f>
        <v>1.9230769230769232E-2</v>
      </c>
      <c r="BF29" s="64">
        <f>BF28/260</f>
        <v>3.0769230769230771E-2</v>
      </c>
      <c r="BG29" s="64">
        <f>BG28/260</f>
        <v>7.6923076923076927E-3</v>
      </c>
      <c r="BH29" s="64">
        <f>BH28/260</f>
        <v>3.8461538461538464E-3</v>
      </c>
      <c r="BI29" s="64">
        <f>BI28/260</f>
        <v>0</v>
      </c>
      <c r="BJ29" s="64">
        <f>BJ28/260</f>
        <v>1.5384615384615385E-2</v>
      </c>
      <c r="BK29" s="64">
        <f>BK28/260</f>
        <v>1.5384615384615385E-2</v>
      </c>
      <c r="BL29" s="64">
        <f>BL28/260</f>
        <v>2.3076923076923078E-2</v>
      </c>
      <c r="BM29" s="64">
        <f>BM28/260</f>
        <v>2.6923076923076925E-2</v>
      </c>
      <c r="BN29" s="64">
        <f>BN28/260</f>
        <v>2.6923076923076925E-2</v>
      </c>
      <c r="BO29" s="64">
        <f>BO28/260</f>
        <v>2.3076923076923078E-2</v>
      </c>
      <c r="BP29" s="64">
        <f>BP28/260</f>
        <v>1.9230769230769232E-2</v>
      </c>
      <c r="BQ29" s="64">
        <f>BQ28/260</f>
        <v>0.12307692307692308</v>
      </c>
      <c r="BR29" s="64">
        <f>BR28/260</f>
        <v>1.9230769230769232E-2</v>
      </c>
      <c r="BS29" s="64">
        <f>BS28/260</f>
        <v>1.1538461538461539E-2</v>
      </c>
      <c r="BT29" s="64">
        <f>BT28/260</f>
        <v>1.5384615384615385E-2</v>
      </c>
      <c r="BU29" s="64">
        <f>BU28/260</f>
        <v>5.3846153846153849E-2</v>
      </c>
      <c r="BV29" s="64">
        <f>BV28/260</f>
        <v>3.8461538461538464E-3</v>
      </c>
      <c r="BW29" s="64">
        <f>BW28/260</f>
        <v>0</v>
      </c>
      <c r="BX29" s="64">
        <f>BX28/260</f>
        <v>0</v>
      </c>
      <c r="BY29" s="64">
        <f>BY28/260</f>
        <v>1.1538461538461539E-2</v>
      </c>
      <c r="BZ29" s="64">
        <f>BZ28/260</f>
        <v>0.10384615384615385</v>
      </c>
      <c r="CA29" s="64">
        <f>CA28/260</f>
        <v>3.0769230769230771E-2</v>
      </c>
      <c r="CB29" s="64">
        <f>CB28/260</f>
        <v>1.9230769230769232E-2</v>
      </c>
      <c r="CC29" s="64">
        <f>CC28/260</f>
        <v>1.1538461538461539E-2</v>
      </c>
      <c r="CD29" s="64">
        <f>CD28/260</f>
        <v>7.6923076923076927E-3</v>
      </c>
      <c r="CE29" s="64">
        <f>CE28/260</f>
        <v>0</v>
      </c>
      <c r="CF29" s="64">
        <f>CF28/260</f>
        <v>1.9230769230769232E-2</v>
      </c>
      <c r="CG29" s="64">
        <f>CG28/260</f>
        <v>4.230769230769231E-2</v>
      </c>
      <c r="CH29" s="64">
        <f>CH28/260</f>
        <v>3.8461538461538464E-3</v>
      </c>
      <c r="CI29" s="64">
        <f>CI28/260</f>
        <v>1.1538461538461539E-2</v>
      </c>
      <c r="CJ29" s="64">
        <f>CJ28/260</f>
        <v>2.6923076923076925E-2</v>
      </c>
      <c r="CK29" s="64">
        <f>CK28/260</f>
        <v>0</v>
      </c>
      <c r="CL29" s="64">
        <f>CL28/260</f>
        <v>3.8461538461538464E-3</v>
      </c>
      <c r="CM29" s="64">
        <f>CM28/260</f>
        <v>2.3076923076923078E-2</v>
      </c>
      <c r="CN29" s="64">
        <f>CN28/260</f>
        <v>0</v>
      </c>
      <c r="CO29" s="64">
        <f>CO28/260</f>
        <v>3.0769230769230771E-2</v>
      </c>
      <c r="CP29" s="64">
        <f>CP28/260</f>
        <v>1.5384615384615385E-2</v>
      </c>
      <c r="CQ29" s="64">
        <f>CQ28/260</f>
        <v>1.5384615384615385E-2</v>
      </c>
      <c r="CR29" s="64">
        <f>CR28/260</f>
        <v>1.1538461538461539E-2</v>
      </c>
      <c r="CS29" s="64">
        <f>CS28/260</f>
        <v>1.9230769230769232E-2</v>
      </c>
      <c r="CU29" s="64">
        <f>AVERAGE(B29:CS29)</f>
        <v>1.8068910256410244E-2</v>
      </c>
    </row>
    <row r="30" spans="1:101" ht="14.5" x14ac:dyDescent="0.35">
      <c r="A30" s="60" t="s">
        <v>226</v>
      </c>
      <c r="B30" s="64">
        <f>1-B29</f>
        <v>0.97307692307692306</v>
      </c>
      <c r="C30" s="64">
        <f>1-C29</f>
        <v>1</v>
      </c>
      <c r="D30" s="64">
        <f>1-D29</f>
        <v>0.9653846153846154</v>
      </c>
      <c r="E30" s="64">
        <f>1-E29</f>
        <v>0.96923076923076923</v>
      </c>
      <c r="F30" s="64">
        <f>1-F29</f>
        <v>0.9884615384615385</v>
      </c>
      <c r="G30" s="64">
        <f>1-G29</f>
        <v>0.98076923076923073</v>
      </c>
      <c r="H30" s="64">
        <f>1-H29</f>
        <v>0.97307692307692306</v>
      </c>
      <c r="I30" s="64">
        <f>1-I29</f>
        <v>0.98461538461538467</v>
      </c>
      <c r="J30" s="64">
        <f>1-J29</f>
        <v>0.99615384615384617</v>
      </c>
      <c r="K30" s="64">
        <f>1-K29</f>
        <v>0.98076923076923073</v>
      </c>
      <c r="L30" s="64">
        <f>1-L29</f>
        <v>0.99615384615384617</v>
      </c>
      <c r="M30" s="64">
        <f>1-M29</f>
        <v>1</v>
      </c>
      <c r="N30" s="64">
        <f>1-N29</f>
        <v>0.95</v>
      </c>
      <c r="O30" s="64">
        <f>1-O29</f>
        <v>0.96923076923076923</v>
      </c>
      <c r="P30" s="64">
        <f>1-P29</f>
        <v>0.98076923076923073</v>
      </c>
      <c r="Q30" s="64">
        <f>1-Q29</f>
        <v>0.96153846153846156</v>
      </c>
      <c r="R30" s="64">
        <f>1-R29</f>
        <v>1</v>
      </c>
      <c r="S30" s="64">
        <f>1-S29</f>
        <v>1</v>
      </c>
      <c r="T30" s="64">
        <f>1-T29</f>
        <v>0.97692307692307689</v>
      </c>
      <c r="U30" s="64">
        <f>1-U29</f>
        <v>0.98076923076923073</v>
      </c>
      <c r="V30" s="64">
        <f>1-V29</f>
        <v>0.9653846153846154</v>
      </c>
      <c r="W30" s="64">
        <f>1-W29</f>
        <v>0.95384615384615379</v>
      </c>
      <c r="X30" s="64">
        <f>1-X29</f>
        <v>0.98461538461538467</v>
      </c>
      <c r="Y30" s="64">
        <f>1-Y29</f>
        <v>0.98461538461538467</v>
      </c>
      <c r="Z30" s="64">
        <f>1-Z29</f>
        <v>0.98461538461538467</v>
      </c>
      <c r="AA30" s="64">
        <f>1-AA29</f>
        <v>0.9884615384615385</v>
      </c>
      <c r="AB30" s="64">
        <f>1-AB29</f>
        <v>1</v>
      </c>
      <c r="AC30" s="64">
        <f>1-AC29</f>
        <v>0.98076923076923073</v>
      </c>
      <c r="AD30" s="64">
        <f>1-AD29</f>
        <v>0.99230769230769234</v>
      </c>
      <c r="AE30" s="64">
        <f>1-AE29</f>
        <v>0.99615384615384617</v>
      </c>
      <c r="AF30" s="64">
        <f>1-AF29</f>
        <v>0.9653846153846154</v>
      </c>
      <c r="AG30" s="64">
        <f>1-AG29</f>
        <v>0.98461538461538467</v>
      </c>
      <c r="AH30" s="64">
        <f>1-AH29</f>
        <v>1</v>
      </c>
      <c r="AI30" s="64">
        <f>1-AI29</f>
        <v>0.97307692307692306</v>
      </c>
      <c r="AJ30" s="64">
        <f>1-AJ29</f>
        <v>0.98461538461538467</v>
      </c>
      <c r="AK30" s="64">
        <f>1-AK29</f>
        <v>1</v>
      </c>
      <c r="AL30" s="64">
        <f>1-AL29</f>
        <v>1</v>
      </c>
      <c r="AM30" s="64">
        <f>1-AM29</f>
        <v>0.98461538461538467</v>
      </c>
      <c r="AN30" s="64">
        <f>1-AN29</f>
        <v>0.98461538461538467</v>
      </c>
      <c r="AO30" s="64">
        <f>1-AO29</f>
        <v>1</v>
      </c>
      <c r="AP30" s="64">
        <f>1-AP29</f>
        <v>0.97692307692307689</v>
      </c>
      <c r="AQ30" s="64">
        <f>1-AQ29</f>
        <v>0.98461538461538467</v>
      </c>
      <c r="AR30" s="64">
        <f>1-AR29</f>
        <v>0.98461538461538467</v>
      </c>
      <c r="AS30" s="64">
        <f>1-AS29</f>
        <v>1</v>
      </c>
      <c r="AT30" s="64">
        <f>1-AT29</f>
        <v>0.99615384615384617</v>
      </c>
      <c r="AU30" s="64">
        <f>1-AU29</f>
        <v>0.98076923076923073</v>
      </c>
      <c r="AV30" s="64">
        <f>1-AV29</f>
        <v>0.99615384615384617</v>
      </c>
      <c r="AW30" s="64">
        <f>1-AW29</f>
        <v>0.98461538461538467</v>
      </c>
      <c r="AX30" s="64">
        <f>1-AX29</f>
        <v>0.99230769230769234</v>
      </c>
      <c r="AY30" s="64">
        <f>1-AY29</f>
        <v>0.98076923076923073</v>
      </c>
      <c r="AZ30" s="64">
        <f>1-AZ29</f>
        <v>0.9653846153846154</v>
      </c>
      <c r="BA30" s="64">
        <f>1-BA29</f>
        <v>0.99230769230769234</v>
      </c>
      <c r="BB30" s="64">
        <f>1-BB29</f>
        <v>1</v>
      </c>
      <c r="BC30" s="64">
        <f>1-BC29</f>
        <v>0.9884615384615385</v>
      </c>
      <c r="BD30" s="64">
        <f>1-BD29</f>
        <v>0.95384615384615379</v>
      </c>
      <c r="BE30" s="64">
        <f>1-BE29</f>
        <v>0.98076923076923073</v>
      </c>
      <c r="BF30" s="64">
        <f>1-BF29</f>
        <v>0.96923076923076923</v>
      </c>
      <c r="BG30" s="64">
        <f>1-BG29</f>
        <v>0.99230769230769234</v>
      </c>
      <c r="BH30" s="64">
        <f>1-BH29</f>
        <v>0.99615384615384617</v>
      </c>
      <c r="BI30" s="64">
        <f>1-BI29</f>
        <v>1</v>
      </c>
      <c r="BJ30" s="64">
        <f>1-BJ29</f>
        <v>0.98461538461538467</v>
      </c>
      <c r="BK30" s="64">
        <f>1-BK29</f>
        <v>0.98461538461538467</v>
      </c>
      <c r="BL30" s="64">
        <f>1-BL29</f>
        <v>0.97692307692307689</v>
      </c>
      <c r="BM30" s="64">
        <f>1-BM29</f>
        <v>0.97307692307692306</v>
      </c>
      <c r="BN30" s="64">
        <f>1-BN29</f>
        <v>0.97307692307692306</v>
      </c>
      <c r="BO30" s="64">
        <f>1-BO29</f>
        <v>0.97692307692307689</v>
      </c>
      <c r="BP30" s="64">
        <f>1-BP29</f>
        <v>0.98076923076923073</v>
      </c>
      <c r="BQ30" s="64">
        <f>1-BQ29</f>
        <v>0.87692307692307692</v>
      </c>
      <c r="BR30" s="64">
        <f>1-BR29</f>
        <v>0.98076923076923073</v>
      </c>
      <c r="BS30" s="64">
        <f>1-BS29</f>
        <v>0.9884615384615385</v>
      </c>
      <c r="BT30" s="64">
        <f>1-BT29</f>
        <v>0.98461538461538467</v>
      </c>
      <c r="BU30" s="64">
        <f>1-BU29</f>
        <v>0.94615384615384612</v>
      </c>
      <c r="BV30" s="64">
        <f>1-BV29</f>
        <v>0.99615384615384617</v>
      </c>
      <c r="BW30" s="64">
        <f>1-BW29</f>
        <v>1</v>
      </c>
      <c r="BX30" s="64">
        <f>1-BX29</f>
        <v>1</v>
      </c>
      <c r="BY30" s="64">
        <f>1-BY29</f>
        <v>0.9884615384615385</v>
      </c>
      <c r="BZ30" s="64">
        <f>1-BZ29</f>
        <v>0.89615384615384619</v>
      </c>
      <c r="CA30" s="64">
        <f>1-CA29</f>
        <v>0.96923076923076923</v>
      </c>
      <c r="CB30" s="64">
        <f>1-CB29</f>
        <v>0.98076923076923073</v>
      </c>
      <c r="CC30" s="64">
        <f>1-CC29</f>
        <v>0.9884615384615385</v>
      </c>
      <c r="CD30" s="64">
        <f>1-CD29</f>
        <v>0.99230769230769234</v>
      </c>
      <c r="CE30" s="64">
        <f>1-CE29</f>
        <v>1</v>
      </c>
      <c r="CF30" s="64">
        <f>1-CF29</f>
        <v>0.98076923076923073</v>
      </c>
      <c r="CG30" s="64">
        <f>1-CG29</f>
        <v>0.95769230769230773</v>
      </c>
      <c r="CH30" s="64">
        <f>1-CH29</f>
        <v>0.99615384615384617</v>
      </c>
      <c r="CI30" s="64">
        <f>1-CI29</f>
        <v>0.9884615384615385</v>
      </c>
      <c r="CJ30" s="64">
        <f>1-CJ29</f>
        <v>0.97307692307692306</v>
      </c>
      <c r="CK30" s="64">
        <f>1-CK29</f>
        <v>1</v>
      </c>
      <c r="CL30" s="64">
        <f>1-CL29</f>
        <v>0.99615384615384617</v>
      </c>
      <c r="CM30" s="64">
        <f>1-CM29</f>
        <v>0.97692307692307689</v>
      </c>
      <c r="CN30" s="64">
        <f>1-CN29</f>
        <v>1</v>
      </c>
      <c r="CO30" s="64">
        <f>1-CO29</f>
        <v>0.96923076923076923</v>
      </c>
      <c r="CP30" s="64">
        <f>1-CP29</f>
        <v>0.98461538461538467</v>
      </c>
      <c r="CQ30" s="64">
        <f>1-CQ29</f>
        <v>0.98461538461538467</v>
      </c>
      <c r="CR30" s="64">
        <f>1-CR29</f>
        <v>0.9884615384615385</v>
      </c>
      <c r="CS30" s="64">
        <f>1-CS29</f>
        <v>0.98076923076923073</v>
      </c>
      <c r="CU30" s="65">
        <f>1-CU29</f>
        <v>0.98193108974358978</v>
      </c>
    </row>
    <row r="32" spans="1:101" ht="96" x14ac:dyDescent="0.35">
      <c r="B32" s="66" t="str">
        <f>IFERROR(VLOOKUP(B1,Summary!$B$4:$B$100,1,0),"")</f>
        <v>Akulic, Marlene</v>
      </c>
      <c r="C32" s="66" t="str">
        <f>IFERROR(VLOOKUP(C1,Summary!$B$4:$B$100,1,0),"")</f>
        <v/>
      </c>
      <c r="D32" s="66" t="str">
        <f>IFERROR(VLOOKUP(D1,Summary!$B$4:$B$100,1,0),"")</f>
        <v>Atkins, Reva</v>
      </c>
      <c r="E32" s="66" t="str">
        <f>IFERROR(VLOOKUP(E1,Summary!$B$4:$B$100,1,0),"")</f>
        <v>Barnes, Ashley</v>
      </c>
      <c r="F32" s="66" t="str">
        <f>IFERROR(VLOOKUP(F1,Summary!$B$4:$B$100,1,0),"")</f>
        <v>Barnes, Eric</v>
      </c>
      <c r="G32" s="66" t="str">
        <f>IFERROR(VLOOKUP(G1,Summary!$B$4:$B$100,1,0),"")</f>
        <v>Barnes, Sarah</v>
      </c>
      <c r="H32" s="66" t="str">
        <f>IFERROR(VLOOKUP(H1,Summary!$B$4:$B$100,1,0),"")</f>
        <v>Bivens, Bethany</v>
      </c>
      <c r="I32" s="66" t="str">
        <f>IFERROR(VLOOKUP(I1,Summary!$B$4:$B$100,1,0),"")</f>
        <v>Bivens, Diane</v>
      </c>
      <c r="J32" s="66" t="str">
        <f>IFERROR(VLOOKUP(J1,Summary!$B$4:$B$100,1,0),"")</f>
        <v>Bivens, Tammie</v>
      </c>
      <c r="K32" s="66" t="str">
        <f>IFERROR(VLOOKUP(K1,Summary!$B$4:$B$100,1,0),"")</f>
        <v>Bledsoe, Amy</v>
      </c>
      <c r="L32" s="66" t="str">
        <f>IFERROR(VLOOKUP(L1,Summary!$B$4:$B$100,1,0),"")</f>
        <v>Bookout, Nancy</v>
      </c>
      <c r="M32" s="66" t="str">
        <f>IFERROR(VLOOKUP(M1,Summary!$B$4:$B$100,1,0),"")</f>
        <v/>
      </c>
      <c r="N32" s="66" t="str">
        <f>IFERROR(VLOOKUP(N1,Summary!$B$4:$B$100,1,0),"")</f>
        <v>Brooks, Tammy</v>
      </c>
      <c r="O32" s="66" t="str">
        <f>IFERROR(VLOOKUP(O1,Summary!$B$4:$B$100,1,0),"")</f>
        <v>Brummett, Sebrina</v>
      </c>
      <c r="P32" s="66" t="str">
        <f>IFERROR(VLOOKUP(P1,Summary!$B$4:$B$100,1,0),"")</f>
        <v>Bryan, Sheena</v>
      </c>
      <c r="Q32" s="66" t="str">
        <f>IFERROR(VLOOKUP(Q1,Summary!$B$4:$B$100,1,0),"")</f>
        <v>Burger, Mary</v>
      </c>
      <c r="R32" s="66" t="str">
        <f>IFERROR(VLOOKUP(R1,Summary!$B$4:$B$100,1,0),"")</f>
        <v/>
      </c>
      <c r="S32" s="66" t="str">
        <f>IFERROR(VLOOKUP(S1,Summary!$B$4:$B$100,1,0),"")</f>
        <v>Carroll, Robin</v>
      </c>
      <c r="T32" s="66" t="str">
        <f>IFERROR(VLOOKUP(T1,Summary!$B$4:$B$100,1,0),"")</f>
        <v>Cathcart, Bess</v>
      </c>
      <c r="U32" s="66" t="str">
        <f>IFERROR(VLOOKUP(U1,Summary!$B$4:$B$100,1,0),"")</f>
        <v>Childress, Stacy</v>
      </c>
      <c r="V32" s="66" t="str">
        <f>IFERROR(VLOOKUP(V1,Summary!$B$4:$B$100,1,0),"")</f>
        <v>Clark, Elizabeth</v>
      </c>
      <c r="W32" s="66" t="str">
        <f>IFERROR(VLOOKUP(W1,Summary!$B$4:$B$100,1,0),"")</f>
        <v>Coburn, Lisa</v>
      </c>
      <c r="X32" s="66" t="str">
        <f>IFERROR(VLOOKUP(X1,Summary!$B$4:$B$100,1,0),"")</f>
        <v>Cooley, Tammy</v>
      </c>
      <c r="Y32" s="66" t="str">
        <f>IFERROR(VLOOKUP(Y1,Summary!$B$4:$B$100,1,0),"")</f>
        <v>Cooper, Alice</v>
      </c>
      <c r="Z32" s="66" t="str">
        <f>IFERROR(VLOOKUP(Z1,Summary!$B$4:$B$100,1,0),"")</f>
        <v>Davis, Kimberly</v>
      </c>
      <c r="AA32" s="66" t="str">
        <f>IFERROR(VLOOKUP(AA1,Summary!$B$4:$B$100,1,0),"")</f>
        <v>Douglas, Krystopher</v>
      </c>
      <c r="AB32" s="66" t="str">
        <f>IFERROR(VLOOKUP(AB1,Summary!$B$4:$B$100,1,0),"")</f>
        <v/>
      </c>
      <c r="AC32" s="66" t="str">
        <f>IFERROR(VLOOKUP(AC1,Summary!$B$4:$B$100,1,0),"")</f>
        <v>Dotson, Wanda</v>
      </c>
      <c r="AD32" s="66" t="str">
        <f>IFERROR(VLOOKUP(AD1,Summary!$B$4:$B$100,1,0),"")</f>
        <v>Dunn, Lois</v>
      </c>
      <c r="AE32" s="66" t="str">
        <f>IFERROR(VLOOKUP(AE1,Summary!$B$4:$B$100,1,0),"")</f>
        <v>Fabrizio, Jamie</v>
      </c>
      <c r="AF32" s="66" t="str">
        <f>IFERROR(VLOOKUP(AF1,Summary!$B$4:$B$100,1,0),"")</f>
        <v>Ghormley, Kelly</v>
      </c>
      <c r="AG32" s="66" t="str">
        <f>IFERROR(VLOOKUP(AG1,Summary!$B$4:$B$100,1,0),"")</f>
        <v>Gibby, Benjamin</v>
      </c>
      <c r="AH32" s="66" t="str">
        <f>IFERROR(VLOOKUP(AH1,Summary!$B$4:$B$100,1,0),"")</f>
        <v>Gibby, Deborah</v>
      </c>
      <c r="AI32" s="66" t="str">
        <f>IFERROR(VLOOKUP(AI1,Summary!$B$4:$B$100,1,0),"")</f>
        <v>Givens, Robert</v>
      </c>
      <c r="AJ32" s="66" t="str">
        <f>IFERROR(VLOOKUP(AJ1,Summary!$B$4:$B$100,1,0),"")</f>
        <v>Godwin, Tonya</v>
      </c>
      <c r="AK32" s="66" t="str">
        <f>IFERROR(VLOOKUP(AK1,Summary!$B$4:$B$100,1,0),"")</f>
        <v>Hall, Fredrick</v>
      </c>
      <c r="AL32" s="66" t="str">
        <f>IFERROR(VLOOKUP(AL1,Summary!$B$4:$B$100,1,0),"")</f>
        <v>Hall, Mary</v>
      </c>
      <c r="AM32" s="66" t="str">
        <f>IFERROR(VLOOKUP(AM1,Summary!$B$4:$B$100,1,0),"")</f>
        <v>Hampton, Angela</v>
      </c>
      <c r="AN32" s="66" t="str">
        <f>IFERROR(VLOOKUP(AN1,Summary!$B$4:$B$100,1,0),"")</f>
        <v>Harris, Nancy</v>
      </c>
      <c r="AO32" s="66" t="str">
        <f>IFERROR(VLOOKUP(AO1,Summary!$B$4:$B$100,1,0),"")</f>
        <v/>
      </c>
      <c r="AP32" s="66" t="str">
        <f>IFERROR(VLOOKUP(AP1,Summary!$B$4:$B$100,1,0),"")</f>
        <v>Headrick, Lena</v>
      </c>
      <c r="AQ32" s="66" t="str">
        <f>IFERROR(VLOOKUP(AQ1,Summary!$B$4:$B$100,1,0),"")</f>
        <v>Helton, Lisa</v>
      </c>
      <c r="AR32" s="66" t="str">
        <f>IFERROR(VLOOKUP(AR1,Summary!$B$4:$B$100,1,0),"")</f>
        <v>Hicks, Lisa</v>
      </c>
      <c r="AS32" s="66" t="str">
        <f>IFERROR(VLOOKUP(AS1,Summary!$B$4:$B$100,1,0),"")</f>
        <v/>
      </c>
      <c r="AT32" s="66" t="str">
        <f>IFERROR(VLOOKUP(AT1,Summary!$B$4:$B$100,1,0),"")</f>
        <v>Howarth, Amy</v>
      </c>
      <c r="AU32" s="66" t="str">
        <f>IFERROR(VLOOKUP(AU1,Summary!$B$4:$B$100,1,0),"")</f>
        <v>Hunt, Nancy</v>
      </c>
      <c r="AV32" s="66" t="str">
        <f>IFERROR(VLOOKUP(AV1,Summary!$B$4:$B$100,1,0),"")</f>
        <v>Jones, Deborah</v>
      </c>
      <c r="AW32" s="66" t="str">
        <f>IFERROR(VLOOKUP(AW1,Summary!$B$4:$B$100,1,0),"")</f>
        <v>Kelly, Delmis</v>
      </c>
      <c r="AX32" s="66" t="str">
        <f>IFERROR(VLOOKUP(AX1,Summary!$B$4:$B$100,1,0),"")</f>
        <v>Kelly, Justin</v>
      </c>
      <c r="AY32" s="66" t="str">
        <f>IFERROR(VLOOKUP(AY1,Summary!$B$4:$B$100,1,0),"")</f>
        <v>Kliever, Debbie</v>
      </c>
      <c r="AZ32" s="66" t="str">
        <f>IFERROR(VLOOKUP(AZ1,Summary!$B$4:$B$100,1,0),"")</f>
        <v>Lee, Ginger</v>
      </c>
      <c r="BA32" s="66" t="str">
        <f>IFERROR(VLOOKUP(BA1,Summary!$B$4:$B$100,1,0),"")</f>
        <v>Lorenz, Viola</v>
      </c>
      <c r="BB32" s="66" t="str">
        <f>IFERROR(VLOOKUP(BB1,Summary!$B$4:$B$100,1,0),"")</f>
        <v/>
      </c>
      <c r="BC32" s="66" t="str">
        <f>IFERROR(VLOOKUP(BC1,Summary!$B$4:$B$100,1,0),"")</f>
        <v>Martin, Dusty</v>
      </c>
      <c r="BD32" s="66" t="str">
        <f>IFERROR(VLOOKUP(BD1,Summary!$B$4:$B$100,1,0),"")</f>
        <v>May, Cynthia</v>
      </c>
      <c r="BE32" s="66" t="str">
        <f>IFERROR(VLOOKUP(BE1,Summary!$B$4:$B$100,1,0),"")</f>
        <v>McCluskey, Loreta</v>
      </c>
      <c r="BF32" s="66" t="str">
        <f>IFERROR(VLOOKUP(BF1,Summary!$B$4:$B$100,1,0),"")</f>
        <v>McDaniel, Kaylee</v>
      </c>
      <c r="BG32" s="66" t="str">
        <f>IFERROR(VLOOKUP(BG1,Summary!$B$4:$B$100,1,0),"")</f>
        <v>McKee, Nathan</v>
      </c>
      <c r="BH32" s="66" t="str">
        <f>IFERROR(VLOOKUP(BH1,Summary!$B$4:$B$100,1,0),"")</f>
        <v>Miller, Gary</v>
      </c>
      <c r="BI32" s="66" t="str">
        <f>IFERROR(VLOOKUP(BI1,Summary!$B$4:$B$100,1,0),"")</f>
        <v/>
      </c>
      <c r="BJ32" s="66" t="str">
        <f>IFERROR(VLOOKUP(BJ1,Summary!$B$4:$B$100,1,0),"")</f>
        <v>Moore, Darlene</v>
      </c>
      <c r="BK32" s="66" t="str">
        <f>IFERROR(VLOOKUP(BK1,Summary!$B$4:$B$100,1,0),"")</f>
        <v>Morris, Jessie</v>
      </c>
      <c r="BL32" s="66" t="str">
        <f>IFERROR(VLOOKUP(BL1,Summary!$B$4:$B$100,1,0),"")</f>
        <v>Nichols, Brenda</v>
      </c>
      <c r="BM32" s="66" t="str">
        <f>IFERROR(VLOOKUP(BM1,Summary!$B$4:$B$100,1,0),"")</f>
        <v>Parker, Jerry</v>
      </c>
      <c r="BN32" s="66" t="str">
        <f>IFERROR(VLOOKUP(BN1,Summary!$B$4:$B$100,1,0),"")</f>
        <v>Patterson, Pamela</v>
      </c>
      <c r="BO32" s="66" t="str">
        <f>IFERROR(VLOOKUP(BO1,Summary!$B$4:$B$100,1,0),"")</f>
        <v>Peels, Carolyn</v>
      </c>
      <c r="BP32" s="66" t="str">
        <f>IFERROR(VLOOKUP(BP1,Summary!$B$4:$B$100,1,0),"")</f>
        <v>Peels, Timothy</v>
      </c>
      <c r="BQ32" s="66" t="str">
        <f>IFERROR(VLOOKUP(BQ1,Summary!$B$4:$B$100,1,0),"")</f>
        <v>Poff, Jessica</v>
      </c>
      <c r="BR32" s="66" t="str">
        <f>IFERROR(VLOOKUP(BR1,Summary!$B$4:$B$100,1,0),"")</f>
        <v>Rankin, Alan</v>
      </c>
      <c r="BS32" s="66" t="str">
        <f>IFERROR(VLOOKUP(BS1,Summary!$B$4:$B$100,1,0),"")</f>
        <v>Reagan, Sandra</v>
      </c>
      <c r="BT32" s="66" t="str">
        <f>IFERROR(VLOOKUP(BT1,Summary!$B$4:$B$100,1,0),"")</f>
        <v>Redman, Melissa</v>
      </c>
      <c r="BU32" s="66" t="str">
        <f>IFERROR(VLOOKUP(BU1,Summary!$B$4:$B$100,1,0),"")</f>
        <v>Richesin, Joey</v>
      </c>
      <c r="BV32" s="66" t="str">
        <f>IFERROR(VLOOKUP(BV1,Summary!$B$4:$B$100,1,0),"")</f>
        <v>Roberts, Beverly</v>
      </c>
      <c r="BW32" s="66" t="str">
        <f>IFERROR(VLOOKUP(BW1,Summary!$B$4:$B$100,1,0),"")</f>
        <v>Roberts, Lisa</v>
      </c>
      <c r="BX32" s="66" t="str">
        <f>IFERROR(VLOOKUP(BX1,Summary!$B$4:$B$100,1,0),"")</f>
        <v/>
      </c>
      <c r="BY32" s="66" t="str">
        <f>IFERROR(VLOOKUP(BY1,Summary!$B$4:$B$100,1,0),"")</f>
        <v>Rupinski, Angela</v>
      </c>
      <c r="BZ32" s="66" t="str">
        <f>IFERROR(VLOOKUP(BZ1,Summary!$B$4:$B$100,1,0),"")</f>
        <v>Rupinski, Alexis</v>
      </c>
      <c r="CA32" s="66" t="str">
        <f>IFERROR(VLOOKUP(CA1,Summary!$B$4:$B$100,1,0),"")</f>
        <v>Schutt, Caleb</v>
      </c>
      <c r="CB32" s="66" t="str">
        <f>IFERROR(VLOOKUP(CB1,Summary!$B$4:$B$100,1,0),"")</f>
        <v>Schomaker, Carla</v>
      </c>
      <c r="CC32" s="66" t="str">
        <f>IFERROR(VLOOKUP(CC1,Summary!$B$4:$B$100,1,0),"")</f>
        <v>Selby, Chasity</v>
      </c>
      <c r="CD32" s="66" t="str">
        <f>IFERROR(VLOOKUP(CD1,Summary!$B$4:$B$100,1,0),"")</f>
        <v>Self, Janet</v>
      </c>
      <c r="CE32" s="66" t="str">
        <f>IFERROR(VLOOKUP(CE1,Summary!$B$4:$B$100,1,0),"")</f>
        <v/>
      </c>
      <c r="CF32" s="66" t="str">
        <f>IFERROR(VLOOKUP(CF1,Summary!$B$4:$B$100,1,0),"")</f>
        <v>Shaw, Teia</v>
      </c>
      <c r="CG32" s="66" t="str">
        <f>IFERROR(VLOOKUP(CG1,Summary!$B$4:$B$100,1,0),"")</f>
        <v>Shepherd, Christina</v>
      </c>
      <c r="CH32" s="66" t="str">
        <f>IFERROR(VLOOKUP(CH1,Summary!$B$4:$B$100,1,0),"")</f>
        <v>Smith, Shannon</v>
      </c>
      <c r="CI32" s="66" t="str">
        <f>IFERROR(VLOOKUP(CI1,Summary!$B$4:$B$100,1,0),"")</f>
        <v>Smith, Justin</v>
      </c>
      <c r="CJ32" s="66" t="str">
        <f>IFERROR(VLOOKUP(CJ1,Summary!$B$4:$B$100,1,0),"")</f>
        <v>Stafford, Tabitha</v>
      </c>
      <c r="CK32" s="66" t="str">
        <f>IFERROR(VLOOKUP(CK1,Summary!$B$4:$B$100,1,0),"")</f>
        <v/>
      </c>
      <c r="CL32" s="66" t="str">
        <f>IFERROR(VLOOKUP(CL1,Summary!$B$4:$B$100,1,0),"")</f>
        <v>Thomas, Emily</v>
      </c>
      <c r="CM32" s="66" t="str">
        <f>IFERROR(VLOOKUP(CM1,Summary!$B$4:$B$100,1,0),"")</f>
        <v>Tipton, Rebecca</v>
      </c>
      <c r="CN32" s="66" t="str">
        <f>IFERROR(VLOOKUP(CN1,Summary!$B$4:$B$100,1,0),"")</f>
        <v/>
      </c>
      <c r="CO32" s="66" t="str">
        <f>IFERROR(VLOOKUP(CO1,Summary!$B$4:$B$100,1,0),"")</f>
        <v>Veit, Jordan</v>
      </c>
      <c r="CP32" s="66" t="str">
        <f>IFERROR(VLOOKUP(CP1,Summary!$B$4:$B$100,1,0),"")</f>
        <v>Watson, Dennis</v>
      </c>
      <c r="CQ32" s="66" t="str">
        <f>IFERROR(VLOOKUP(CQ1,Summary!$B$4:$B$100,1,0),"")</f>
        <v>Wells, James</v>
      </c>
      <c r="CR32" s="66" t="str">
        <f>IFERROR(VLOOKUP(CR1,Summary!$B$4:$B$100,1,0),"")</f>
        <v>West, Sandra</v>
      </c>
      <c r="CS32" s="66" t="str">
        <f>IFERROR(VLOOKUP(CS1,Summary!$B$4:$B$100,1,0),"")</f>
        <v>Young, Karen</v>
      </c>
    </row>
  </sheetData>
  <conditionalFormatting sqref="B29:CS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B59C-C8FA-4486-A55A-F2EC308BD62D}">
  <sheetPr codeName="Planilha1"/>
  <dimension ref="A1:AG30"/>
  <sheetViews>
    <sheetView workbookViewId="0">
      <selection activeCell="V32" sqref="V32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3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3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3" ht="15.5" x14ac:dyDescent="0.35">
      <c r="A3" s="13" t="s">
        <v>2</v>
      </c>
      <c r="B3" s="10"/>
      <c r="C3" s="10"/>
      <c r="D3" s="14"/>
      <c r="E3" s="14"/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14"/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3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3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3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3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3" ht="15.5" x14ac:dyDescent="0.35">
      <c r="A8" s="3" t="s">
        <v>5</v>
      </c>
      <c r="B8" s="4"/>
      <c r="C8" s="17" t="s">
        <v>33</v>
      </c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</row>
    <row r="9" spans="1:33" ht="15.5" x14ac:dyDescent="0.35">
      <c r="A9" s="3" t="s">
        <v>6</v>
      </c>
      <c r="B9" s="18"/>
      <c r="C9" s="18"/>
      <c r="D9" s="8"/>
      <c r="E9" s="5"/>
      <c r="F9" s="5"/>
      <c r="G9" s="17" t="s">
        <v>33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</row>
    <row r="10" spans="1:33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3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3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3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3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3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3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2"/>
    </row>
    <row r="30" spans="1:33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B89D5-24AD-4022-83A9-A81EB9C746EA}">
  <sheetPr codeName="Planilha2"/>
  <dimension ref="A1:AI30"/>
  <sheetViews>
    <sheetView workbookViewId="0">
      <selection activeCell="AJ7" sqref="AJ7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42611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0" t="s">
        <v>126</v>
      </c>
      <c r="D8" s="6"/>
      <c r="E8" s="6"/>
      <c r="F8" s="6"/>
      <c r="G8" s="8"/>
      <c r="H8" s="5"/>
      <c r="I8" s="5"/>
      <c r="J8" s="17"/>
      <c r="K8" s="6"/>
      <c r="L8" s="6"/>
      <c r="M8" s="34" t="s">
        <v>135</v>
      </c>
      <c r="N8" s="8"/>
      <c r="O8" s="5"/>
      <c r="P8" s="5"/>
      <c r="Q8" s="17"/>
      <c r="R8" s="34" t="s">
        <v>135</v>
      </c>
      <c r="S8" s="29" t="s">
        <v>156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136</v>
      </c>
      <c r="AG8" s="12">
        <v>22</v>
      </c>
      <c r="AH8">
        <f>COUNTA(B8:AF8)</f>
        <v>5</v>
      </c>
      <c r="AI8">
        <v>5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9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29" t="s">
        <v>179</v>
      </c>
      <c r="W9" s="6"/>
      <c r="X9" s="6"/>
      <c r="Y9" s="8"/>
      <c r="Z9" s="5"/>
      <c r="AA9" s="5"/>
      <c r="AB9" s="17"/>
      <c r="AC9" s="6"/>
      <c r="AD9" s="7"/>
      <c r="AE9" s="7"/>
      <c r="AF9" s="7"/>
      <c r="AG9" s="12">
        <v>20</v>
      </c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6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5C721-A409-481E-8698-03A2B259018F}">
  <sheetPr codeName="Planilha3"/>
  <dimension ref="A1:AI30"/>
  <sheetViews>
    <sheetView workbookViewId="0">
      <selection activeCell="AI8" sqref="AI8:AI9"/>
    </sheetView>
  </sheetViews>
  <sheetFormatPr defaultRowHeight="14.5" x14ac:dyDescent="0.35"/>
  <cols>
    <col min="1" max="1" width="9.269531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44004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31" t="s">
        <v>128</v>
      </c>
      <c r="M8" s="6"/>
      <c r="N8" s="8"/>
      <c r="O8" s="5"/>
      <c r="P8" s="5"/>
      <c r="Q8" s="17"/>
      <c r="R8" s="31" t="s">
        <v>128</v>
      </c>
      <c r="S8" s="34" t="s">
        <v>134</v>
      </c>
      <c r="T8" s="34" t="s">
        <v>134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4" t="s">
        <v>134</v>
      </c>
      <c r="H9" s="34" t="s">
        <v>135</v>
      </c>
      <c r="I9" s="6"/>
      <c r="J9" s="6"/>
      <c r="K9" s="8"/>
      <c r="L9" s="5"/>
      <c r="M9" s="5"/>
      <c r="N9" s="17"/>
      <c r="O9" s="31" t="s">
        <v>128</v>
      </c>
      <c r="P9" s="29" t="s">
        <v>137</v>
      </c>
      <c r="Q9" s="29" t="s">
        <v>137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44944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44971</v>
      </c>
      <c r="B24" s="50"/>
      <c r="C24" s="50"/>
      <c r="D24" s="18"/>
      <c r="E24" s="50"/>
      <c r="F24" s="50"/>
      <c r="G24" s="18"/>
      <c r="H24" s="51" t="s">
        <v>138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8413E-0F71-444C-A987-DEF5E4AFDC8C}">
  <sheetPr codeName="Planilha4"/>
  <dimension ref="A1:AI30"/>
  <sheetViews>
    <sheetView topLeftCell="A3"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13.1796875" customWidth="1"/>
    <col min="16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 t="s">
        <v>123</v>
      </c>
      <c r="E3" s="14"/>
      <c r="F3" s="14"/>
      <c r="G3" s="14"/>
      <c r="H3" s="14"/>
      <c r="I3" s="14"/>
      <c r="J3" s="14"/>
      <c r="K3" s="10"/>
      <c r="L3" s="10" t="s">
        <v>3</v>
      </c>
      <c r="M3" s="10"/>
      <c r="N3" s="10"/>
      <c r="O3" s="24">
        <v>44893</v>
      </c>
      <c r="P3" s="14"/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6" t="s">
        <v>139</v>
      </c>
      <c r="D8" s="34" t="s">
        <v>139</v>
      </c>
      <c r="E8" s="6"/>
      <c r="F8" s="31" t="s">
        <v>128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31" t="s">
        <v>128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1" t="s">
        <v>128</v>
      </c>
      <c r="H9" s="6"/>
      <c r="I9" s="6"/>
      <c r="J9" s="6"/>
      <c r="K9" s="8"/>
      <c r="L9" s="5"/>
      <c r="M9" s="5"/>
      <c r="N9" s="41" t="s">
        <v>139</v>
      </c>
      <c r="O9" s="6"/>
      <c r="P9" s="6"/>
      <c r="Q9" s="6"/>
      <c r="R9" s="8"/>
      <c r="S9" s="5"/>
      <c r="T9" s="5"/>
      <c r="U9" s="41" t="s">
        <v>139</v>
      </c>
      <c r="V9" s="6"/>
      <c r="W9" s="6"/>
      <c r="X9" s="31" t="s">
        <v>128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/>
      <c r="F23" s="50"/>
      <c r="G23" s="18"/>
      <c r="H23" s="51" t="s">
        <v>178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2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H22:M22"/>
    <mergeCell ref="B23:C23"/>
    <mergeCell ref="E23:F23"/>
    <mergeCell ref="H23:M23"/>
    <mergeCell ref="B24:C24"/>
    <mergeCell ref="E24:F24"/>
    <mergeCell ref="H24:M24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A9E0A-D4DF-4826-A5CB-044D13B52E8E}">
  <sheetPr codeName="Planilha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4531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44102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34" t="s">
        <v>126</v>
      </c>
      <c r="S8" s="6"/>
      <c r="T8" s="6"/>
      <c r="U8" s="8"/>
      <c r="V8" s="5"/>
      <c r="W8" s="5"/>
      <c r="X8" s="31" t="s">
        <v>128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1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174DD-D2F1-42F2-B9AE-EEE2D762DD86}">
  <sheetPr codeName="Planilha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44109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1" t="s">
        <v>128</v>
      </c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31" t="s">
        <v>128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6"/>
      <c r="H9" s="31" t="s">
        <v>128</v>
      </c>
      <c r="I9" s="29" t="s">
        <v>137</v>
      </c>
      <c r="J9" s="29" t="s">
        <v>137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44964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53C3-0ACB-4B9E-AE78-A54228F6CE74}">
  <sheetPr codeName="Planilha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44747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2" t="s">
        <v>128</v>
      </c>
      <c r="D8" s="6"/>
      <c r="E8" s="6"/>
      <c r="F8" s="31" t="s">
        <v>128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32" t="s">
        <v>128</v>
      </c>
      <c r="C9" s="18"/>
      <c r="D9" s="8"/>
      <c r="E9" s="5"/>
      <c r="F9" s="5"/>
      <c r="G9" s="17" t="s">
        <v>33</v>
      </c>
      <c r="H9" s="6"/>
      <c r="I9" s="6"/>
      <c r="J9" s="29" t="s">
        <v>126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31" t="s">
        <v>128</v>
      </c>
      <c r="W9" s="6"/>
      <c r="X9" s="31" t="s">
        <v>128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CAC2-093B-44B6-8AAE-212B23DDA224}">
  <sheetPr codeName="Planilha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39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43395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27" t="s">
        <v>128</v>
      </c>
      <c r="D8" s="6"/>
      <c r="E8" s="6"/>
      <c r="F8" s="6"/>
      <c r="G8" s="8"/>
      <c r="H8" s="5"/>
      <c r="I8" s="5"/>
      <c r="J8" s="17"/>
      <c r="K8" s="6"/>
      <c r="L8" s="31" t="s">
        <v>128</v>
      </c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 t="s">
        <v>33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34" t="s">
        <v>135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12B4E-09D7-4560-8B0F-621C2867343D}">
  <sheetPr codeName="Planilha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39209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D397-DF8D-42FE-8193-DFE8D70569D5}">
  <sheetPr codeName="Planilha10"/>
  <dimension ref="A1:AI30"/>
  <sheetViews>
    <sheetView workbookViewId="0">
      <selection activeCell="AI8" sqref="AI8:AI9"/>
    </sheetView>
  </sheetViews>
  <sheetFormatPr defaultRowHeight="14.5" x14ac:dyDescent="0.35"/>
  <cols>
    <col min="1" max="1" width="9.4531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42912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4" t="s">
        <v>134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39" t="s">
        <v>128</v>
      </c>
      <c r="AF8" s="29" t="s">
        <v>137</v>
      </c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29" t="s">
        <v>137</v>
      </c>
      <c r="C9" s="29" t="s">
        <v>137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44957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1FE82-E552-429C-9D53-7239DD6FCE5D}">
  <sheetPr codeName="Planilha1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41656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43" t="s">
        <v>128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2F73-5093-456D-9BA0-0A99AFBBB13B}">
  <sheetPr codeName="Planilha1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72656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181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44984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0</v>
      </c>
      <c r="AI8">
        <v>0</v>
      </c>
    </row>
    <row r="9" spans="1:35" ht="15.5" x14ac:dyDescent="0.35">
      <c r="A9" s="3" t="s">
        <v>6</v>
      </c>
      <c r="B9" s="49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4B3CD-A88C-48D5-8746-66B95E63C684}">
  <sheetPr codeName="Planilha1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44200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4" t="s">
        <v>139</v>
      </c>
      <c r="T8" s="6"/>
      <c r="U8" s="8"/>
      <c r="V8" s="5"/>
      <c r="W8" s="5"/>
      <c r="X8" s="17"/>
      <c r="Y8" s="34" t="s">
        <v>139</v>
      </c>
      <c r="Z8" s="6"/>
      <c r="AA8" s="6"/>
      <c r="AB8" s="8"/>
      <c r="AC8" s="5"/>
      <c r="AD8" s="5"/>
      <c r="AE8" s="17"/>
      <c r="AF8" s="31" t="s">
        <v>128</v>
      </c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34" t="s">
        <v>154</v>
      </c>
      <c r="P9" s="34" t="s">
        <v>139</v>
      </c>
      <c r="Q9" s="6"/>
      <c r="R9" s="8"/>
      <c r="S9" s="5"/>
      <c r="T9" s="5"/>
      <c r="U9" s="17"/>
      <c r="V9" s="31" t="s">
        <v>128</v>
      </c>
      <c r="W9" s="34" t="s">
        <v>139</v>
      </c>
      <c r="X9" s="34" t="s">
        <v>139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 t="s">
        <v>165</v>
      </c>
      <c r="F23" s="50"/>
      <c r="G23" s="18"/>
      <c r="H23" s="51" t="s">
        <v>164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2CB87-7942-4FA1-91C2-6130CC5609AB}">
  <sheetPr codeName="Planilha14"/>
  <dimension ref="A1:AI30"/>
  <sheetViews>
    <sheetView workbookViewId="0">
      <selection activeCell="AI8" sqref="AI8:AI9"/>
    </sheetView>
  </sheetViews>
  <sheetFormatPr defaultRowHeight="14.5" x14ac:dyDescent="0.35"/>
  <cols>
    <col min="1" max="1" width="10.5429687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44459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32" t="s">
        <v>128</v>
      </c>
      <c r="K8" s="29" t="s">
        <v>137</v>
      </c>
      <c r="L8" s="29" t="s">
        <v>137</v>
      </c>
      <c r="M8" s="29" t="s">
        <v>137</v>
      </c>
      <c r="N8" s="8"/>
      <c r="O8" s="5"/>
      <c r="P8" s="5"/>
      <c r="Q8" s="17"/>
      <c r="R8" s="6"/>
      <c r="S8" s="6"/>
      <c r="T8" s="6"/>
      <c r="U8" s="8"/>
      <c r="V8" s="5"/>
      <c r="W8" s="5"/>
      <c r="X8" s="31" t="s">
        <v>128</v>
      </c>
      <c r="Y8" s="6"/>
      <c r="Z8" s="6"/>
      <c r="AA8" s="6"/>
      <c r="AB8" s="8"/>
      <c r="AC8" s="5"/>
      <c r="AD8" s="5"/>
      <c r="AE8" s="39" t="s">
        <v>135</v>
      </c>
      <c r="AF8" s="29" t="s">
        <v>137</v>
      </c>
      <c r="AG8" s="12"/>
      <c r="AH8">
        <f>COUNTA(B8:AF8)</f>
        <v>7</v>
      </c>
      <c r="AI8">
        <v>7</v>
      </c>
    </row>
    <row r="9" spans="1:35" ht="15.5" x14ac:dyDescent="0.35">
      <c r="A9" s="3" t="s">
        <v>6</v>
      </c>
      <c r="B9" s="44" t="s">
        <v>137</v>
      </c>
      <c r="C9" s="18"/>
      <c r="D9" s="8"/>
      <c r="E9" s="5"/>
      <c r="F9" s="5"/>
      <c r="G9" s="39" t="s">
        <v>136</v>
      </c>
      <c r="H9" s="29" t="s">
        <v>137</v>
      </c>
      <c r="I9" s="29" t="s">
        <v>137</v>
      </c>
      <c r="J9" s="29" t="s">
        <v>137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34" t="s">
        <v>134</v>
      </c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6</v>
      </c>
      <c r="AI9">
        <v>6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44936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44964</v>
      </c>
      <c r="B24" s="50"/>
      <c r="C24" s="50"/>
      <c r="D24" s="18"/>
      <c r="E24" s="50"/>
      <c r="F24" s="50"/>
      <c r="G24" s="18"/>
      <c r="H24" s="51" t="s">
        <v>150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D7C31-8CD0-440C-9A64-47DFE00BD618}">
  <sheetPr codeName="Planilha1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44655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6"/>
      <c r="G8" s="8"/>
      <c r="H8" s="5"/>
      <c r="I8" s="5"/>
      <c r="J8" s="32" t="s">
        <v>128</v>
      </c>
      <c r="K8" s="6"/>
      <c r="L8" s="34" t="s">
        <v>139</v>
      </c>
      <c r="M8" s="6"/>
      <c r="N8" s="8"/>
      <c r="O8" s="5"/>
      <c r="P8" s="5"/>
      <c r="Q8" s="17"/>
      <c r="R8" s="6"/>
      <c r="S8" s="34" t="s">
        <v>139</v>
      </c>
      <c r="T8" s="31" t="s">
        <v>128</v>
      </c>
      <c r="U8" s="8"/>
      <c r="V8" s="5"/>
      <c r="W8" s="5"/>
      <c r="X8" s="39" t="s">
        <v>136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6</v>
      </c>
      <c r="AI8">
        <v>6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2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31" t="s">
        <v>128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7381-93E6-41D4-9ACA-825ABD7474CE}">
  <sheetPr codeName="Planilha1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42492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6"/>
      <c r="G8" s="8"/>
      <c r="H8" s="5"/>
      <c r="I8" s="5"/>
      <c r="J8" s="17"/>
      <c r="K8" s="31" t="s">
        <v>128</v>
      </c>
      <c r="L8" s="31" t="s">
        <v>128</v>
      </c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31" t="s">
        <v>128</v>
      </c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31" t="s">
        <v>128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 t="s">
        <v>165</v>
      </c>
      <c r="F23" s="50"/>
      <c r="G23" s="18"/>
      <c r="H23" s="51" t="s">
        <v>164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5172-A977-40F7-ACB4-9F9EBF59DB3C}">
  <sheetPr codeName="Planilha1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44810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27" t="s">
        <v>126</v>
      </c>
      <c r="F8" s="6"/>
      <c r="G8" s="8"/>
      <c r="H8" s="5"/>
      <c r="I8" s="5"/>
      <c r="J8" s="36" t="s">
        <v>139</v>
      </c>
      <c r="K8" s="31" t="s">
        <v>128</v>
      </c>
      <c r="L8" s="34" t="s">
        <v>126</v>
      </c>
      <c r="M8" s="29" t="s">
        <v>137</v>
      </c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5</v>
      </c>
      <c r="AI8">
        <v>5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34" t="s">
        <v>154</v>
      </c>
      <c r="I9" s="6"/>
      <c r="J9" s="31" t="s">
        <v>128</v>
      </c>
      <c r="K9" s="8"/>
      <c r="L9" s="5"/>
      <c r="M9" s="5"/>
      <c r="N9" s="17"/>
      <c r="O9" s="6"/>
      <c r="P9" s="6"/>
      <c r="Q9" s="6"/>
      <c r="R9" s="8"/>
      <c r="S9" s="5"/>
      <c r="T9" s="5"/>
      <c r="U9" s="39" t="s">
        <v>128</v>
      </c>
      <c r="V9" s="29" t="s">
        <v>137</v>
      </c>
      <c r="W9" s="29" t="s">
        <v>137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6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 t="s">
        <v>165</v>
      </c>
      <c r="F23" s="50"/>
      <c r="G23" s="18"/>
      <c r="H23" s="51" t="s">
        <v>178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44978</v>
      </c>
      <c r="B24" s="50"/>
      <c r="C24" s="50"/>
      <c r="D24" s="18"/>
      <c r="E24" s="50"/>
      <c r="F24" s="50"/>
      <c r="G24" s="18"/>
      <c r="H24" s="51" t="s">
        <v>138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28" t="s">
        <v>126</v>
      </c>
      <c r="P27" s="10" t="s">
        <v>145</v>
      </c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EB79-53AC-4FF9-83A5-C59C899A593C}">
  <sheetPr codeName="Planilha1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41442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29" t="s">
        <v>126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30" t="s">
        <v>126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C9909-3DE6-4800-93E8-0B13CBEE1290}">
  <sheetPr codeName="Planilha1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49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33378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242BB-DCFD-48ED-B831-3D65E81CDC51}">
  <sheetPr codeName="Planilha20"/>
  <dimension ref="A1:AI30"/>
  <sheetViews>
    <sheetView workbookViewId="0">
      <selection activeCell="AI8" sqref="AI8:AI9"/>
    </sheetView>
  </sheetViews>
  <sheetFormatPr defaultRowHeight="14.5" x14ac:dyDescent="0.35"/>
  <cols>
    <col min="1" max="1" width="8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41795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27" t="s">
        <v>128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4" t="s">
        <v>139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48" t="s">
        <v>128</v>
      </c>
      <c r="D9" s="8"/>
      <c r="E9" s="5"/>
      <c r="F9" s="5"/>
      <c r="G9" s="32" t="s">
        <v>128</v>
      </c>
      <c r="H9" s="6"/>
      <c r="I9" s="6"/>
      <c r="J9" s="6"/>
      <c r="K9" s="8"/>
      <c r="L9" s="5"/>
      <c r="M9" s="5"/>
      <c r="N9" s="17"/>
      <c r="O9" s="6"/>
      <c r="P9" s="6"/>
      <c r="Q9" s="31" t="s">
        <v>128</v>
      </c>
      <c r="R9" s="8"/>
      <c r="S9" s="5"/>
      <c r="T9" s="5"/>
      <c r="U9" s="30" t="s">
        <v>137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44977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EB563-A639-4BAA-AAF2-D07D0B4FA1D1}">
  <sheetPr codeName="Planilha2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10.269531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37654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29" t="s">
        <v>126</v>
      </c>
      <c r="G8" s="8"/>
      <c r="H8" s="5"/>
      <c r="I8" s="5"/>
      <c r="J8" s="17"/>
      <c r="K8" s="6"/>
      <c r="L8" s="6"/>
      <c r="M8" s="6"/>
      <c r="N8" s="8"/>
      <c r="O8" s="5"/>
      <c r="P8" s="5"/>
      <c r="Q8" s="41" t="s">
        <v>154</v>
      </c>
      <c r="R8" s="29" t="s">
        <v>126</v>
      </c>
      <c r="S8" s="6"/>
      <c r="T8" s="6"/>
      <c r="U8" s="8"/>
      <c r="V8" s="5"/>
      <c r="W8" s="5"/>
      <c r="X8" s="31" t="s">
        <v>128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34" t="s">
        <v>126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44931</v>
      </c>
      <c r="B23" s="50"/>
      <c r="C23" s="50"/>
      <c r="D23" s="18"/>
      <c r="E23" s="50"/>
      <c r="F23" s="50"/>
      <c r="G23" s="18"/>
      <c r="H23" s="51" t="s">
        <v>146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44943</v>
      </c>
      <c r="B24" s="50"/>
      <c r="C24" s="50"/>
      <c r="D24" s="18"/>
      <c r="E24" s="50"/>
      <c r="F24" s="50"/>
      <c r="G24" s="18"/>
      <c r="H24" s="51" t="s">
        <v>155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honeticPr fontId="10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87B90-5DB0-4257-8FDC-AB03255C1306}">
  <sheetPr codeName="Planilha22"/>
  <dimension ref="A1:AI30"/>
  <sheetViews>
    <sheetView workbookViewId="0">
      <selection activeCell="AI8" sqref="AI8:AI9"/>
    </sheetView>
  </sheetViews>
  <sheetFormatPr defaultRowHeight="14.5" x14ac:dyDescent="0.35"/>
  <cols>
    <col min="1" max="1" width="8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42954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4" t="s">
        <v>135</v>
      </c>
      <c r="E8" s="34" t="s">
        <v>134</v>
      </c>
      <c r="F8" s="34" t="s">
        <v>147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34" t="s">
        <v>134</v>
      </c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4" t="s">
        <v>169</v>
      </c>
      <c r="H9" s="6"/>
      <c r="I9" s="6"/>
      <c r="J9" s="6"/>
      <c r="K9" s="8"/>
      <c r="L9" s="5"/>
      <c r="M9" s="5"/>
      <c r="N9" s="39" t="s">
        <v>128</v>
      </c>
      <c r="O9" s="29" t="s">
        <v>137</v>
      </c>
      <c r="P9" s="29" t="s">
        <v>137</v>
      </c>
      <c r="Q9" s="29" t="s">
        <v>137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44971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61646-C415-489F-9DC4-548210D9281B}">
  <sheetPr codeName="Planilha23"/>
  <dimension ref="A1:AI30"/>
  <sheetViews>
    <sheetView workbookViewId="0">
      <selection activeCell="AI8" sqref="AI8:AI9"/>
    </sheetView>
  </sheetViews>
  <sheetFormatPr defaultRowHeight="14.5" x14ac:dyDescent="0.35"/>
  <cols>
    <col min="1" max="1" width="9.179687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44466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1" t="s">
        <v>136</v>
      </c>
      <c r="E8" s="29" t="s">
        <v>137</v>
      </c>
      <c r="F8" s="6"/>
      <c r="G8" s="8"/>
      <c r="H8" s="5"/>
      <c r="I8" s="5"/>
      <c r="J8" s="17"/>
      <c r="K8" s="6"/>
      <c r="L8" s="6"/>
      <c r="M8" s="31" t="s">
        <v>128</v>
      </c>
      <c r="N8" s="8"/>
      <c r="O8" s="5"/>
      <c r="P8" s="5"/>
      <c r="Q8" s="17"/>
      <c r="R8" s="6"/>
      <c r="S8" s="6"/>
      <c r="T8" s="6"/>
      <c r="U8" s="8"/>
      <c r="V8" s="5"/>
      <c r="W8" s="5"/>
      <c r="X8" s="31" t="s">
        <v>128</v>
      </c>
      <c r="Y8" s="29" t="s">
        <v>137</v>
      </c>
      <c r="Z8" s="29" t="s">
        <v>137</v>
      </c>
      <c r="AA8" s="6"/>
      <c r="AB8" s="8"/>
      <c r="AC8" s="5"/>
      <c r="AD8" s="5"/>
      <c r="AE8" s="41" t="s">
        <v>139</v>
      </c>
      <c r="AF8" s="29" t="s">
        <v>133</v>
      </c>
      <c r="AG8" s="12"/>
      <c r="AH8">
        <f>COUNTA(B8:AF8)</f>
        <v>8</v>
      </c>
      <c r="AI8">
        <v>8</v>
      </c>
    </row>
    <row r="9" spans="1:35" ht="15.5" x14ac:dyDescent="0.35">
      <c r="A9" s="3" t="s">
        <v>6</v>
      </c>
      <c r="B9" s="42" t="s">
        <v>133</v>
      </c>
      <c r="C9" s="42" t="s">
        <v>133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34" t="s">
        <v>135</v>
      </c>
      <c r="R9" s="8"/>
      <c r="S9" s="5"/>
      <c r="T9" s="5"/>
      <c r="U9" s="17"/>
      <c r="V9" s="6"/>
      <c r="W9" s="31" t="s">
        <v>128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44930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44950</v>
      </c>
      <c r="B24" s="50"/>
      <c r="C24" s="50"/>
      <c r="D24" s="18"/>
      <c r="E24" s="50"/>
      <c r="F24" s="50"/>
      <c r="G24" s="18"/>
      <c r="H24" s="51" t="s">
        <v>138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F2D93-FAAA-4FD4-BBB9-FACB822B63FC}">
  <sheetPr codeName="Planilha2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35218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29" t="s">
        <v>137</v>
      </c>
      <c r="S8" s="29" t="s">
        <v>137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2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44943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5F26E-39E5-4FE6-81CB-328222BE0398}">
  <sheetPr codeName="Planilha2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36171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29" t="s">
        <v>126</v>
      </c>
      <c r="E8" s="29" t="s">
        <v>126</v>
      </c>
      <c r="F8" s="29" t="s">
        <v>126</v>
      </c>
      <c r="G8" s="29" t="s">
        <v>126</v>
      </c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714B-C58A-49F5-8755-C28B2639C312}">
  <sheetPr codeName="Planilha2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35905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41" t="s">
        <v>134</v>
      </c>
      <c r="H9" s="41" t="s">
        <v>134</v>
      </c>
      <c r="I9" s="6"/>
      <c r="J9" s="6"/>
      <c r="K9" s="8"/>
      <c r="L9" s="5"/>
      <c r="M9" s="5"/>
      <c r="N9" s="17"/>
      <c r="O9" s="6"/>
      <c r="P9" s="31" t="s">
        <v>128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E433-9148-48F7-816F-65D64D667B37}">
  <sheetPr codeName="Planilha2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36543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29" t="s">
        <v>126</v>
      </c>
      <c r="AA8" s="29" t="s">
        <v>126</v>
      </c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48" t="s">
        <v>128</v>
      </c>
      <c r="D9" s="8"/>
      <c r="E9" s="5"/>
      <c r="F9" s="5"/>
      <c r="G9" s="17"/>
      <c r="H9" s="6"/>
      <c r="I9" s="31" t="s">
        <v>136</v>
      </c>
      <c r="J9" s="6"/>
      <c r="K9" s="8"/>
      <c r="L9" s="5"/>
      <c r="M9" s="5"/>
      <c r="N9" s="41" t="s">
        <v>135</v>
      </c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647C8-6A06-4330-B8E0-B848CB827CF2}">
  <sheetPr codeName="Planilha2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44830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39" t="s">
        <v>128</v>
      </c>
      <c r="I9" s="6"/>
      <c r="J9" s="6"/>
      <c r="K9" s="8"/>
      <c r="L9" s="5"/>
      <c r="M9" s="5"/>
      <c r="N9" s="41" t="s">
        <v>126</v>
      </c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4E00-6CEE-4CF1-8C89-5E7146E2CE38}">
  <sheetPr codeName="Planilha2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59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41659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45" t="s">
        <v>126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41" t="s">
        <v>126</v>
      </c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78324-C60C-40A7-9EEF-06B6B5672477}">
  <sheetPr codeName="Planilha3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44082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31" t="s">
        <v>128</v>
      </c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4F548-77C6-48DB-9933-5D0968EE29D0}">
  <sheetPr codeName="Planilha31"/>
  <dimension ref="A1:AI30"/>
  <sheetViews>
    <sheetView workbookViewId="0">
      <selection activeCell="AI8" sqref="AI8:AI9"/>
    </sheetView>
  </sheetViews>
  <sheetFormatPr defaultRowHeight="14.5" x14ac:dyDescent="0.35"/>
  <cols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4531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177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44977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40" t="s">
        <v>33</v>
      </c>
      <c r="K8" s="6" t="s">
        <v>33</v>
      </c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33</v>
      </c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34" t="s">
        <v>139</v>
      </c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 t="s">
        <v>33</v>
      </c>
      <c r="B23" s="50"/>
      <c r="C23" s="50"/>
      <c r="D23" s="18"/>
      <c r="E23" s="50"/>
      <c r="F23" s="50"/>
      <c r="G23" s="18"/>
      <c r="H23" s="51" t="s">
        <v>33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4A1D-6572-44D4-A10B-6D46A643BCD8}">
  <sheetPr codeName="Planilha32"/>
  <dimension ref="A1:AI30"/>
  <sheetViews>
    <sheetView workbookViewId="0">
      <selection activeCell="AI8" sqref="AI8:AI9"/>
    </sheetView>
  </sheetViews>
  <sheetFormatPr defaultRowHeight="14.5" x14ac:dyDescent="0.35"/>
  <cols>
    <col min="1" max="1" width="9.179687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124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44900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32" t="s">
        <v>128</v>
      </c>
      <c r="K8" s="29" t="s">
        <v>137</v>
      </c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136</v>
      </c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31" t="s">
        <v>136</v>
      </c>
      <c r="Y9" s="8"/>
      <c r="Z9" s="5"/>
      <c r="AA9" s="5"/>
      <c r="AB9" s="17"/>
      <c r="AC9" s="6"/>
      <c r="AD9" s="7"/>
      <c r="AE9" s="7"/>
      <c r="AF9" s="7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44936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A08BA-616E-49A8-A9A9-E997019D454C}">
  <sheetPr codeName="Planilha3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44859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31" t="s">
        <v>136</v>
      </c>
      <c r="L8" s="6"/>
      <c r="M8" s="6"/>
      <c r="N8" s="8"/>
      <c r="O8" s="5"/>
      <c r="P8" s="5"/>
      <c r="Q8" s="17"/>
      <c r="R8" s="6"/>
      <c r="S8" s="31" t="s">
        <v>128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31" t="s">
        <v>128</v>
      </c>
      <c r="J9" s="29" t="s">
        <v>137</v>
      </c>
      <c r="K9" s="8"/>
      <c r="L9" s="5"/>
      <c r="M9" s="5"/>
      <c r="N9" s="29" t="s">
        <v>137</v>
      </c>
      <c r="O9" s="6"/>
      <c r="P9" s="6"/>
      <c r="Q9" s="6"/>
      <c r="R9" s="8"/>
      <c r="S9" s="5"/>
      <c r="T9" s="5"/>
      <c r="U9" s="39" t="s">
        <v>128</v>
      </c>
      <c r="V9" s="29" t="s">
        <v>137</v>
      </c>
      <c r="W9" s="29" t="s">
        <v>137</v>
      </c>
      <c r="X9" s="29" t="s">
        <v>137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7</v>
      </c>
      <c r="AI9">
        <v>7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BBEA-B2D8-4979-8225-64BBF8082C17}">
  <sheetPr codeName="Planilha34"/>
  <dimension ref="A1:AI30"/>
  <sheetViews>
    <sheetView workbookViewId="0">
      <selection activeCell="AI8" sqref="AI8:AI9"/>
    </sheetView>
  </sheetViews>
  <sheetFormatPr defaultRowHeight="14.5" x14ac:dyDescent="0.35"/>
  <cols>
    <col min="1" max="1" width="10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43633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31" t="s">
        <v>128</v>
      </c>
      <c r="M8" s="29" t="s">
        <v>137</v>
      </c>
      <c r="N8" s="8"/>
      <c r="O8" s="5"/>
      <c r="P8" s="5"/>
      <c r="Q8" s="39" t="s">
        <v>136</v>
      </c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31" t="s">
        <v>128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44938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33361-B0E5-4D6B-BC1C-E3F27837FFF3}">
  <sheetPr codeName="Planilha3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43654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CC7E-5AE6-4E66-8911-8253C2C53DA2}">
  <sheetPr codeName="Planilha3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44825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34" t="s">
        <v>139</v>
      </c>
      <c r="S8" s="6"/>
      <c r="T8" s="34" t="s">
        <v>154</v>
      </c>
      <c r="U8" s="8"/>
      <c r="V8" s="5"/>
      <c r="W8" s="5"/>
      <c r="X8" s="41" t="s">
        <v>139</v>
      </c>
      <c r="Y8" s="6"/>
      <c r="Z8" s="6"/>
      <c r="AA8" s="6"/>
      <c r="AB8" s="8"/>
      <c r="AC8" s="5"/>
      <c r="AD8" s="5"/>
      <c r="AE8" s="17"/>
      <c r="AF8" s="31" t="s">
        <v>128</v>
      </c>
      <c r="AG8" s="12"/>
      <c r="AH8">
        <f>COUNTA(B8:AF8)</f>
        <v>5</v>
      </c>
      <c r="AI8">
        <v>5</v>
      </c>
    </row>
    <row r="9" spans="1:35" ht="15.5" x14ac:dyDescent="0.35">
      <c r="A9" s="3" t="s">
        <v>6</v>
      </c>
      <c r="B9" s="44" t="s">
        <v>137</v>
      </c>
      <c r="C9" s="44" t="s">
        <v>137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9996E-651B-46AE-9082-61CB5C383A5B}">
  <sheetPr codeName="Planilha3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43402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3" t="s">
        <v>126</v>
      </c>
      <c r="D8" s="33" t="s">
        <v>126</v>
      </c>
      <c r="E8" s="33" t="s">
        <v>126</v>
      </c>
      <c r="F8" s="33" t="s">
        <v>126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291E8-22BF-404E-B2CB-F2F0EEE65FBD}">
  <sheetPr codeName="Planilha3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6.54296875" customWidth="1"/>
    <col min="16" max="16" width="1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175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44971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40"/>
      <c r="D8" s="40"/>
      <c r="E8" s="40"/>
      <c r="F8" s="40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D0E7A-157B-4007-97F7-4EA17267AD3D}">
  <sheetPr codeName="Planilha3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44090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CB93A-315A-4B21-97D5-B5F82292025C}">
  <sheetPr codeName="Planilha4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33763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87A1C-733B-44C6-8A75-A6C6F113D9DB}">
  <sheetPr codeName="Planilha4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44214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9" t="s">
        <v>128</v>
      </c>
      <c r="H9" s="39" t="s">
        <v>128</v>
      </c>
      <c r="I9" s="29" t="s">
        <v>137</v>
      </c>
      <c r="J9" s="6"/>
      <c r="K9" s="8"/>
      <c r="L9" s="5"/>
      <c r="M9" s="5"/>
      <c r="N9" s="17"/>
      <c r="O9" s="6"/>
      <c r="P9" s="31" t="s">
        <v>136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56BE5-8D6C-408B-BC3B-D6173BA5405F}">
  <sheetPr codeName="Planilha4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69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44319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29" t="s">
        <v>137</v>
      </c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31" t="s">
        <v>128</v>
      </c>
      <c r="K9" s="8"/>
      <c r="L9" s="5"/>
      <c r="M9" s="5"/>
      <c r="N9" s="17"/>
      <c r="O9" s="6"/>
      <c r="P9" s="6"/>
      <c r="Q9" s="39" t="s">
        <v>128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0998A-602D-47DE-8DD4-C540357542A7}">
  <sheetPr codeName="Planilha4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44158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3" t="s">
        <v>144</v>
      </c>
      <c r="D8" s="33" t="s">
        <v>144</v>
      </c>
      <c r="E8" s="33" t="s">
        <v>144</v>
      </c>
      <c r="F8" s="33" t="s">
        <v>144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29" t="s">
        <v>134</v>
      </c>
      <c r="S8" s="6"/>
      <c r="T8" s="6"/>
      <c r="U8" s="8"/>
      <c r="V8" s="5"/>
      <c r="W8" s="5"/>
      <c r="X8" s="17"/>
      <c r="Y8" s="6"/>
      <c r="Z8" s="31" t="s">
        <v>128</v>
      </c>
      <c r="AA8" s="6"/>
      <c r="AB8" s="8"/>
      <c r="AC8" s="5"/>
      <c r="AD8" s="5"/>
      <c r="AE8" s="17"/>
      <c r="AF8" s="6"/>
      <c r="AG8" s="12"/>
      <c r="AH8">
        <f>COUNTA(B8:AF8)</f>
        <v>6</v>
      </c>
      <c r="AI8">
        <v>6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44928</v>
      </c>
      <c r="B23" s="50"/>
      <c r="C23" s="50"/>
      <c r="D23" s="18"/>
      <c r="E23" s="50"/>
      <c r="F23" s="50"/>
      <c r="G23" s="18"/>
      <c r="H23" s="51" t="s">
        <v>143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honeticPr fontId="10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19D5C-4B0C-4B49-9AD6-3942E9CB7AA6}">
  <sheetPr codeName="Planilha4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0.269531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44690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34" t="s">
        <v>139</v>
      </c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31" t="s">
        <v>136</v>
      </c>
      <c r="K9" s="8"/>
      <c r="L9" s="5"/>
      <c r="M9" s="5"/>
      <c r="N9" s="39" t="s">
        <v>128</v>
      </c>
      <c r="O9" s="6"/>
      <c r="P9" s="6"/>
      <c r="Q9" s="6"/>
      <c r="R9" s="8"/>
      <c r="S9" s="5"/>
      <c r="T9" s="5"/>
      <c r="U9" s="41" t="s">
        <v>135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B57F7-3333-4DB3-832E-C54E3F4D714E}">
  <sheetPr codeName="Planilha4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42814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31" t="s">
        <v>136</v>
      </c>
      <c r="S8" s="6"/>
      <c r="T8" s="6"/>
      <c r="U8" s="8"/>
      <c r="V8" s="5"/>
      <c r="W8" s="5"/>
      <c r="X8" s="17"/>
      <c r="Y8" s="34" t="s">
        <v>139</v>
      </c>
      <c r="Z8" s="31" t="s">
        <v>128</v>
      </c>
      <c r="AA8" s="6"/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1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1F18-50B8-455D-AE49-4C7D9A7DE181}">
  <sheetPr codeName="Planilha4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43192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34" t="s">
        <v>135</v>
      </c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H22:M22"/>
    <mergeCell ref="B23:C23"/>
    <mergeCell ref="E23:F23"/>
    <mergeCell ref="H23:M23"/>
    <mergeCell ref="B24:C24"/>
    <mergeCell ref="E24:F24"/>
    <mergeCell ref="H24:M24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EDF8-59FD-4CF0-91B8-FFED0C0B8685}">
  <sheetPr codeName="Planilha4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44537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3" t="s">
        <v>133</v>
      </c>
      <c r="D8" s="6"/>
      <c r="E8" s="29" t="s">
        <v>133</v>
      </c>
      <c r="F8" s="29" t="s">
        <v>133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34" t="s">
        <v>135</v>
      </c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34" t="s">
        <v>135</v>
      </c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D38B1-FDA0-4966-A70E-D1627AE4523F}">
  <sheetPr codeName="Planilha4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816406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148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44935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37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38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39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86EFB-0E5A-4828-A7D1-63FC5DF84B94}">
  <sheetPr codeName="Planilha49"/>
  <dimension ref="A1:AI30"/>
  <sheetViews>
    <sheetView workbookViewId="0">
      <selection activeCell="AI8" sqref="AI8:AI9"/>
    </sheetView>
  </sheetViews>
  <sheetFormatPr defaultRowHeight="14.5" x14ac:dyDescent="0.35"/>
  <cols>
    <col min="16" max="16" width="11.453125" bestFit="1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170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44956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31" t="s">
        <v>128</v>
      </c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31" t="s">
        <v>128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71E2F-A963-4972-8965-C6DBE8A8808F}">
  <sheetPr codeName="Planilha5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44810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34" t="s">
        <v>135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E7872-0591-45C3-AE67-5575D1174573}">
  <sheetPr codeName="Planilha5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44172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261AD-D02F-4B7B-A246-A84D61673D88}">
  <sheetPr codeName="Planilha5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44858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31" t="s">
        <v>128</v>
      </c>
      <c r="L8" s="29" t="s">
        <v>137</v>
      </c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31" t="s">
        <v>128</v>
      </c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31" t="s">
        <v>128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44937</v>
      </c>
      <c r="B23" s="50"/>
      <c r="C23" s="50"/>
      <c r="D23" s="18"/>
      <c r="E23" s="50"/>
      <c r="F23" s="50"/>
      <c r="G23" s="18"/>
      <c r="H23" s="51" t="s">
        <v>149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E237D-FACC-4647-BD28-F4156DF6E3D1}">
  <sheetPr codeName="Planilha5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44333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31" t="s">
        <v>128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31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BF06E-F9B0-430B-9E40-F59334162D88}">
  <sheetPr codeName="Planilha54"/>
  <dimension ref="A1:AI30"/>
  <sheetViews>
    <sheetView workbookViewId="0">
      <selection activeCell="AI8" sqref="AI8:AI9"/>
    </sheetView>
  </sheetViews>
  <sheetFormatPr defaultRowHeight="14.5" x14ac:dyDescent="0.35"/>
  <cols>
    <col min="1" max="1" width="9.5429687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269531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79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36621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4" t="s">
        <v>139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1" t="s">
        <v>158</v>
      </c>
      <c r="T8" s="6"/>
      <c r="U8" s="8"/>
      <c r="V8" s="5"/>
      <c r="W8" s="5"/>
      <c r="X8" s="31" t="s">
        <v>128</v>
      </c>
      <c r="Y8" s="29" t="s">
        <v>137</v>
      </c>
      <c r="Z8" s="29" t="s">
        <v>137</v>
      </c>
      <c r="AA8" s="6"/>
      <c r="AB8" s="8"/>
      <c r="AC8" s="5"/>
      <c r="AD8" s="5"/>
      <c r="AE8" s="17"/>
      <c r="AF8" s="6"/>
      <c r="AG8" s="12"/>
      <c r="AH8">
        <f>COUNTA(B8:AF8)</f>
        <v>5</v>
      </c>
      <c r="AI8">
        <v>5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44950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977F0-370A-4921-9D88-0828BD731304}">
  <sheetPr codeName="Planilha5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44236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34" t="s">
        <v>135</v>
      </c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39" t="s">
        <v>128</v>
      </c>
      <c r="AF8" s="29" t="s">
        <v>137</v>
      </c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42" t="s">
        <v>137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34" t="s">
        <v>135</v>
      </c>
      <c r="P9" s="34" t="s">
        <v>176</v>
      </c>
      <c r="Q9" s="29" t="s">
        <v>137</v>
      </c>
      <c r="R9" s="8"/>
      <c r="S9" s="5"/>
      <c r="T9" s="5"/>
      <c r="U9" s="29" t="s">
        <v>137</v>
      </c>
      <c r="V9" s="29" t="s">
        <v>137</v>
      </c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6</v>
      </c>
      <c r="AI9">
        <v>6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44973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honeticPr fontId="10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C0A1D-CECE-435B-AA5F-0BA315F4D5AE}">
  <sheetPr codeName="Planilha5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34443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32" t="s">
        <v>128</v>
      </c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2" t="s">
        <v>128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40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0A56E-3A3B-4031-9CD9-8F51991F1CDD}">
  <sheetPr codeName="Planilha5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44823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41" t="s">
        <v>135</v>
      </c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34" t="s">
        <v>135</v>
      </c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31" t="s">
        <v>128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0112-2F13-487F-AC4F-80EB5AF5F417}">
  <sheetPr codeName="Planilha58"/>
  <dimension ref="A1:AI30"/>
  <sheetViews>
    <sheetView workbookViewId="0">
      <selection activeCell="AI8" sqref="AI8:AI9"/>
    </sheetView>
  </sheetViews>
  <sheetFormatPr defaultRowHeight="14.5" x14ac:dyDescent="0.35"/>
  <cols>
    <col min="1" max="1" width="10.4531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44375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34" t="s">
        <v>135</v>
      </c>
      <c r="M8" s="31" t="s">
        <v>128</v>
      </c>
      <c r="N8" s="8"/>
      <c r="O8" s="5"/>
      <c r="P8" s="5"/>
      <c r="Q8" s="17"/>
      <c r="R8" s="34" t="s">
        <v>135</v>
      </c>
      <c r="S8" s="29" t="s">
        <v>137</v>
      </c>
      <c r="T8" s="29" t="s">
        <v>137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128</v>
      </c>
      <c r="AG8" s="12"/>
      <c r="AH8">
        <f>COUNTA(B8:AF8)</f>
        <v>6</v>
      </c>
      <c r="AI8">
        <v>6</v>
      </c>
    </row>
    <row r="9" spans="1:35" ht="15.5" x14ac:dyDescent="0.35">
      <c r="A9" s="3" t="s">
        <v>6</v>
      </c>
      <c r="B9" s="44" t="s">
        <v>137</v>
      </c>
      <c r="C9" s="44" t="s">
        <v>137</v>
      </c>
      <c r="D9" s="8"/>
      <c r="E9" s="5"/>
      <c r="F9" s="5"/>
      <c r="G9" s="41" t="s">
        <v>134</v>
      </c>
      <c r="H9" s="41" t="s">
        <v>134</v>
      </c>
      <c r="I9" s="41" t="s">
        <v>134</v>
      </c>
      <c r="J9" s="41" t="s">
        <v>134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6</v>
      </c>
      <c r="AI9">
        <v>6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44944</v>
      </c>
      <c r="B23" s="50"/>
      <c r="C23" s="50"/>
      <c r="D23" s="18"/>
      <c r="E23" s="50"/>
      <c r="F23" s="50"/>
      <c r="G23" s="18"/>
      <c r="H23" s="51" t="s">
        <v>157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44958</v>
      </c>
      <c r="B24" s="50"/>
      <c r="C24" s="50"/>
      <c r="D24" s="18"/>
      <c r="E24" s="50"/>
      <c r="F24" s="50"/>
      <c r="G24" s="18"/>
      <c r="H24" s="51" t="s">
        <v>138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7F3AA-A7E2-4923-9E0C-63E54FE0DE3E}">
  <sheetPr codeName="Planilha59"/>
  <dimension ref="A1:AI30"/>
  <sheetViews>
    <sheetView topLeftCell="A6"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37410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39" t="s">
        <v>128</v>
      </c>
      <c r="R8" s="6"/>
      <c r="S8" s="6"/>
      <c r="T8" s="29" t="s">
        <v>126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39" t="s">
        <v>128</v>
      </c>
      <c r="V9" s="29" t="s">
        <v>137</v>
      </c>
      <c r="W9" s="6"/>
      <c r="X9" s="29" t="s">
        <v>180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44978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2AC7-F90F-4FAF-BE23-5CD6515F5514}">
  <sheetPr codeName="Planilha60"/>
  <dimension ref="A1:AI30"/>
  <sheetViews>
    <sheetView workbookViewId="0">
      <selection activeCell="AI8" sqref="AI8:AI9"/>
    </sheetView>
  </sheetViews>
  <sheetFormatPr defaultRowHeight="14.5" x14ac:dyDescent="0.35"/>
  <cols>
    <col min="1" max="1" width="9.269531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44767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2" t="s">
        <v>128</v>
      </c>
      <c r="D8" s="6"/>
      <c r="E8" s="6"/>
      <c r="F8" s="31" t="s">
        <v>136</v>
      </c>
      <c r="G8" s="8"/>
      <c r="H8" s="5"/>
      <c r="I8" s="5"/>
      <c r="J8" s="32" t="s">
        <v>128</v>
      </c>
      <c r="K8" s="6"/>
      <c r="L8" s="34" t="s">
        <v>135</v>
      </c>
      <c r="M8" s="29" t="s">
        <v>137</v>
      </c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5</v>
      </c>
      <c r="AI8">
        <v>5</v>
      </c>
    </row>
    <row r="9" spans="1:35" ht="15.5" x14ac:dyDescent="0.35">
      <c r="A9" s="3" t="s">
        <v>6</v>
      </c>
      <c r="B9" s="18"/>
      <c r="C9" s="42" t="s">
        <v>126</v>
      </c>
      <c r="D9" s="8"/>
      <c r="E9" s="5"/>
      <c r="F9" s="5"/>
      <c r="G9" s="17"/>
      <c r="H9" s="6"/>
      <c r="I9" s="32" t="s">
        <v>128</v>
      </c>
      <c r="J9" s="29" t="s">
        <v>137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44938</v>
      </c>
      <c r="B23" s="50"/>
      <c r="C23" s="50"/>
      <c r="D23" s="18"/>
      <c r="E23" s="50"/>
      <c r="F23" s="50"/>
      <c r="G23" s="18"/>
      <c r="H23" s="51" t="s">
        <v>152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19C3-9B7C-4624-AA37-895AC21EC31E}">
  <sheetPr codeName="Planilha6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38271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4" t="s">
        <v>139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31" t="s">
        <v>128</v>
      </c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40AA7-6C2C-41DB-BBBA-4A850E6F2FC3}">
  <sheetPr codeName="Planilha6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43993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1" t="s">
        <v>128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4E9A-54AC-455B-983A-D9E73E19ABCA}">
  <sheetPr codeName="Planilha6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44172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4" t="s">
        <v>135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48" t="s">
        <v>128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31" t="s">
        <v>136</v>
      </c>
      <c r="Q9" s="29" t="s">
        <v>137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764BF-4C32-423F-9B1A-CFCBB5A03053}">
  <sheetPr codeName="Planilha6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89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44704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31" t="s">
        <v>128</v>
      </c>
      <c r="U8" s="8"/>
      <c r="V8" s="5"/>
      <c r="W8" s="5"/>
      <c r="X8" s="31" t="s">
        <v>128</v>
      </c>
      <c r="Y8" s="29" t="s">
        <v>137</v>
      </c>
      <c r="Z8" s="29" t="s">
        <v>137</v>
      </c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18008-8644-4303-8998-2BD6C21C055A}">
  <sheetPr codeName="Planilha6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162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44956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 t="s">
        <v>33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43" t="s">
        <v>128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39" t="s">
        <v>128</v>
      </c>
      <c r="O9" s="39" t="s">
        <v>128</v>
      </c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H22:M22"/>
    <mergeCell ref="V1:W1"/>
    <mergeCell ref="A5:J5"/>
    <mergeCell ref="B6:C6"/>
    <mergeCell ref="E6:F6"/>
    <mergeCell ref="H6:J6"/>
    <mergeCell ref="B23:C23"/>
    <mergeCell ref="E23:F23"/>
    <mergeCell ref="H23:M23"/>
    <mergeCell ref="B24:C24"/>
    <mergeCell ref="E24:F24"/>
    <mergeCell ref="H24:M24"/>
    <mergeCell ref="B25:C25"/>
    <mergeCell ref="E25:F25"/>
    <mergeCell ref="H25:M25"/>
    <mergeCell ref="B26:C26"/>
    <mergeCell ref="E26:F26"/>
    <mergeCell ref="H26:M26"/>
    <mergeCell ref="B27:C27"/>
    <mergeCell ref="E27:F27"/>
    <mergeCell ref="H27:M27"/>
    <mergeCell ref="B28:C28"/>
    <mergeCell ref="E28:F28"/>
    <mergeCell ref="H28:M28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D180-81E2-4111-9CFE-1230C5191530}">
  <sheetPr codeName="Planilha6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37459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4" t="s">
        <v>126</v>
      </c>
      <c r="E8" s="34" t="s">
        <v>126</v>
      </c>
      <c r="F8" s="31" t="s">
        <v>128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31" t="s">
        <v>128</v>
      </c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0" t="s">
        <v>168</v>
      </c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31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44958</v>
      </c>
      <c r="B23" s="50"/>
      <c r="C23" s="50"/>
      <c r="D23" s="18"/>
      <c r="E23" s="50" t="s">
        <v>165</v>
      </c>
      <c r="F23" s="50"/>
      <c r="G23" s="18"/>
      <c r="H23" s="51" t="s">
        <v>164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6CB-EC41-41AF-87AA-705F3E620EF1}">
  <sheetPr codeName="Planilha67"/>
  <dimension ref="A1:AI30"/>
  <sheetViews>
    <sheetView workbookViewId="0">
      <selection activeCell="AI8" sqref="AI8:AI9"/>
    </sheetView>
  </sheetViews>
  <sheetFormatPr defaultRowHeight="14.5" x14ac:dyDescent="0.35"/>
  <cols>
    <col min="1" max="1" width="9.4531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2.179687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44810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4" t="s">
        <v>135</v>
      </c>
      <c r="E8" s="6"/>
      <c r="F8" s="6"/>
      <c r="G8" s="8"/>
      <c r="H8" s="5"/>
      <c r="I8" s="5"/>
      <c r="J8" s="33" t="s">
        <v>137</v>
      </c>
      <c r="K8" s="33" t="s">
        <v>137</v>
      </c>
      <c r="L8" s="33" t="s">
        <v>137</v>
      </c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31" t="s">
        <v>128</v>
      </c>
      <c r="Z8" s="31" t="s">
        <v>128</v>
      </c>
      <c r="AA8" s="31" t="s">
        <v>128</v>
      </c>
      <c r="AB8" s="8"/>
      <c r="AC8" s="5"/>
      <c r="AD8" s="5"/>
      <c r="AE8" s="17"/>
      <c r="AF8" s="6"/>
      <c r="AG8" s="12"/>
      <c r="AH8">
        <f>COUNTA(B8:AF8)</f>
        <v>7</v>
      </c>
      <c r="AI8">
        <v>7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44935</v>
      </c>
      <c r="B23" s="50"/>
      <c r="C23" s="50"/>
      <c r="D23" s="18"/>
      <c r="E23" s="50"/>
      <c r="F23" s="50"/>
      <c r="G23" s="18"/>
      <c r="H23" s="51" t="s">
        <v>150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44950</v>
      </c>
      <c r="B24" s="50"/>
      <c r="C24" s="50"/>
      <c r="D24" s="18"/>
      <c r="E24" s="50"/>
      <c r="F24" s="50"/>
      <c r="G24" s="18"/>
      <c r="H24" s="51" t="s">
        <v>160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35">
        <v>44951</v>
      </c>
      <c r="B25" s="50"/>
      <c r="C25" s="50"/>
      <c r="D25" s="18"/>
      <c r="E25" s="50"/>
      <c r="F25" s="50"/>
      <c r="G25" s="18"/>
      <c r="H25" s="51" t="s">
        <v>160</v>
      </c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35">
        <v>44952</v>
      </c>
      <c r="B26" s="50"/>
      <c r="C26" s="50"/>
      <c r="D26" s="18"/>
      <c r="E26" s="50"/>
      <c r="F26" s="50"/>
      <c r="G26" s="18"/>
      <c r="H26" s="51" t="s">
        <v>160</v>
      </c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F7F5B-8CB6-4592-B09C-801E582D583A}">
  <sheetPr codeName="Planilha68"/>
  <dimension ref="A1:AI30"/>
  <sheetViews>
    <sheetView workbookViewId="0">
      <selection activeCell="AI8" sqref="AI8:AI9"/>
    </sheetView>
  </sheetViews>
  <sheetFormatPr defaultRowHeight="14.5" x14ac:dyDescent="0.35"/>
  <cols>
    <col min="1" max="1" width="9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44396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32" t="s">
        <v>128</v>
      </c>
      <c r="K8" s="29" t="s">
        <v>137</v>
      </c>
      <c r="L8" s="29" t="s">
        <v>137</v>
      </c>
      <c r="M8" s="29" t="s">
        <v>137</v>
      </c>
      <c r="N8" s="8"/>
      <c r="O8" s="5"/>
      <c r="P8" s="5"/>
      <c r="Q8" s="39" t="s">
        <v>128</v>
      </c>
      <c r="R8" s="6"/>
      <c r="S8" s="6"/>
      <c r="T8" s="6"/>
      <c r="U8" s="8"/>
      <c r="V8" s="5"/>
      <c r="W8" s="5"/>
      <c r="X8" s="17"/>
      <c r="Y8" s="6"/>
      <c r="Z8" s="6"/>
      <c r="AA8" s="39" t="s">
        <v>128</v>
      </c>
      <c r="AB8" s="8"/>
      <c r="AC8" s="5"/>
      <c r="AD8" s="5"/>
      <c r="AE8" s="39" t="s">
        <v>128</v>
      </c>
      <c r="AF8" s="6"/>
      <c r="AG8" s="12"/>
      <c r="AH8">
        <f>COUNTA(B8:AF8)</f>
        <v>7</v>
      </c>
      <c r="AI8">
        <v>7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44936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44958</v>
      </c>
      <c r="B24" s="50"/>
      <c r="C24" s="50"/>
      <c r="D24" s="18"/>
      <c r="E24" s="50" t="s">
        <v>165</v>
      </c>
      <c r="F24" s="50"/>
      <c r="G24" s="18"/>
      <c r="H24" s="51" t="s">
        <v>164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F8AD-6582-4598-AFD0-F01FFB96190D}">
  <sheetPr codeName="Planilha6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43178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31" t="s">
        <v>128</v>
      </c>
      <c r="N8" s="8"/>
      <c r="O8" s="5"/>
      <c r="P8" s="5"/>
      <c r="Q8" s="17"/>
      <c r="R8" s="6"/>
      <c r="S8" s="6"/>
      <c r="T8" s="6"/>
      <c r="U8" s="8"/>
      <c r="V8" s="5"/>
      <c r="W8" s="5"/>
      <c r="X8" s="41" t="s">
        <v>135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47" t="s">
        <v>136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31" t="s">
        <v>136</v>
      </c>
      <c r="W9" s="29" t="s">
        <v>137</v>
      </c>
      <c r="X9" s="29" t="s">
        <v>137</v>
      </c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44979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31A7C-CA16-4D88-A0B2-61FB22A7416D}">
  <sheetPr codeName="Planilha7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38557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41" t="s">
        <v>135</v>
      </c>
      <c r="R8" s="6"/>
      <c r="S8" s="6"/>
      <c r="T8" s="6"/>
      <c r="U8" s="8"/>
      <c r="V8" s="5"/>
      <c r="W8" s="5"/>
      <c r="X8" s="41" t="s">
        <v>126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29" t="s">
        <v>133</v>
      </c>
      <c r="I9" s="29" t="s">
        <v>133</v>
      </c>
      <c r="J9" s="29" t="s">
        <v>133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C148-B51C-4881-8206-DC85C166974C}">
  <sheetPr codeName="Planilha7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43486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6" t="s">
        <v>134</v>
      </c>
      <c r="D8" s="36" t="s">
        <v>134</v>
      </c>
      <c r="E8" s="36" t="s">
        <v>134</v>
      </c>
      <c r="F8" s="36" t="s">
        <v>134</v>
      </c>
      <c r="G8" s="8"/>
      <c r="H8" s="5"/>
      <c r="I8" s="5"/>
      <c r="J8" s="36" t="s">
        <v>134</v>
      </c>
      <c r="K8" s="36" t="s">
        <v>134</v>
      </c>
      <c r="L8" s="36" t="s">
        <v>134</v>
      </c>
      <c r="M8" s="36" t="s">
        <v>134</v>
      </c>
      <c r="N8" s="8"/>
      <c r="O8" s="5"/>
      <c r="P8" s="5"/>
      <c r="Q8" s="36" t="s">
        <v>134</v>
      </c>
      <c r="R8" s="36" t="s">
        <v>134</v>
      </c>
      <c r="S8" s="36" t="s">
        <v>134</v>
      </c>
      <c r="T8" s="36" t="s">
        <v>134</v>
      </c>
      <c r="U8" s="8"/>
      <c r="V8" s="5"/>
      <c r="W8" s="5"/>
      <c r="X8" s="36" t="s">
        <v>134</v>
      </c>
      <c r="Y8" s="36" t="s">
        <v>134</v>
      </c>
      <c r="Z8" s="36" t="s">
        <v>134</v>
      </c>
      <c r="AA8" s="36" t="s">
        <v>134</v>
      </c>
      <c r="AB8" s="8"/>
      <c r="AC8" s="5"/>
      <c r="AD8" s="5"/>
      <c r="AE8" s="36" t="s">
        <v>134</v>
      </c>
      <c r="AF8" s="36" t="s">
        <v>134</v>
      </c>
      <c r="AG8" s="12"/>
      <c r="AH8">
        <f>COUNTA(B8:AF8)</f>
        <v>18</v>
      </c>
      <c r="AI8">
        <v>18</v>
      </c>
    </row>
    <row r="9" spans="1:35" ht="15.5" x14ac:dyDescent="0.35">
      <c r="A9" s="3" t="s">
        <v>6</v>
      </c>
      <c r="B9" s="36" t="s">
        <v>134</v>
      </c>
      <c r="C9" s="36" t="s">
        <v>134</v>
      </c>
      <c r="D9" s="8"/>
      <c r="E9" s="5"/>
      <c r="F9" s="5"/>
      <c r="G9" s="36" t="s">
        <v>134</v>
      </c>
      <c r="H9" s="36" t="s">
        <v>134</v>
      </c>
      <c r="I9" s="36" t="s">
        <v>134</v>
      </c>
      <c r="J9" s="36" t="s">
        <v>134</v>
      </c>
      <c r="K9" s="8"/>
      <c r="L9" s="5"/>
      <c r="M9" s="5"/>
      <c r="N9" s="17"/>
      <c r="O9" s="36" t="s">
        <v>134</v>
      </c>
      <c r="P9" s="36" t="s">
        <v>134</v>
      </c>
      <c r="Q9" s="36" t="s">
        <v>134</v>
      </c>
      <c r="R9" s="36" t="s">
        <v>134</v>
      </c>
      <c r="S9" s="5"/>
      <c r="T9" s="5"/>
      <c r="U9" s="17"/>
      <c r="V9" s="36" t="s">
        <v>134</v>
      </c>
      <c r="W9" s="36" t="s">
        <v>134</v>
      </c>
      <c r="X9" s="36" t="s">
        <v>134</v>
      </c>
      <c r="Y9" s="36" t="s">
        <v>134</v>
      </c>
      <c r="Z9" s="5"/>
      <c r="AA9" s="5"/>
      <c r="AB9" s="17"/>
      <c r="AC9" s="6"/>
      <c r="AD9" s="7"/>
      <c r="AE9" s="7"/>
      <c r="AF9" s="7"/>
      <c r="AG9" s="12"/>
      <c r="AH9">
        <f>COUNTA(B9:AF9)</f>
        <v>14</v>
      </c>
      <c r="AI9">
        <v>14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77A9-8824-4D3F-AD92-7B324D3C478F}">
  <sheetPr codeName="Planilha7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44865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2" t="s">
        <v>128</v>
      </c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32" t="s">
        <v>128</v>
      </c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41" t="s">
        <v>126</v>
      </c>
      <c r="H9" s="6"/>
      <c r="I9" s="6"/>
      <c r="J9" s="34" t="s">
        <v>139</v>
      </c>
      <c r="K9" s="8"/>
      <c r="L9" s="5"/>
      <c r="M9" s="5"/>
      <c r="N9" s="17"/>
      <c r="O9" s="6"/>
      <c r="P9" s="6"/>
      <c r="Q9" s="6"/>
      <c r="R9" s="8"/>
      <c r="S9" s="5"/>
      <c r="T9" s="5"/>
      <c r="U9" s="39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1E2F-77A4-42A1-8FA5-60EF44E3180A}">
  <sheetPr codeName="Planilha7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9.72656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153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44942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40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 t="s">
        <v>33</v>
      </c>
      <c r="B23" s="50"/>
      <c r="C23" s="50"/>
      <c r="D23" s="18"/>
      <c r="E23" s="50"/>
      <c r="F23" s="50"/>
      <c r="G23" s="18"/>
      <c r="H23" s="51" t="s">
        <v>33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A4E8-A88D-4FC7-AAA1-ADF63C27EA83}">
  <sheetPr codeName="Planilha7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44816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2" t="s">
        <v>128</v>
      </c>
      <c r="D8" s="29" t="s">
        <v>137</v>
      </c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4" t="s">
        <v>135</v>
      </c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44929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55883-A04F-4D24-850A-49E068DEA74E}">
  <sheetPr codeName="Planilha7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44669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1" t="s">
        <v>126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48" t="s">
        <v>128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31" t="s">
        <v>128</v>
      </c>
      <c r="P9" s="29" t="s">
        <v>137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3</v>
      </c>
      <c r="AI9">
        <v>3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31" t="s">
        <v>126</v>
      </c>
      <c r="P27" s="10" t="s">
        <v>145</v>
      </c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30B7-EDF8-4D8C-A81B-7D78236ED5E9}">
  <sheetPr codeName="Planilha76"/>
  <dimension ref="A1:AI30"/>
  <sheetViews>
    <sheetView workbookViewId="0">
      <selection activeCell="AI8" sqref="AI8:AI9"/>
    </sheetView>
  </sheetViews>
  <sheetFormatPr defaultRowHeight="14.5" x14ac:dyDescent="0.35"/>
  <cols>
    <col min="1" max="1" width="8.81640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99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44669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29" t="s">
        <v>137</v>
      </c>
      <c r="G8" s="8"/>
      <c r="H8" s="5"/>
      <c r="I8" s="5"/>
      <c r="J8" s="29" t="s">
        <v>137</v>
      </c>
      <c r="K8" s="29" t="s">
        <v>137</v>
      </c>
      <c r="L8" s="29" t="s">
        <v>137</v>
      </c>
      <c r="M8" s="29" t="s">
        <v>137</v>
      </c>
      <c r="N8" s="8"/>
      <c r="O8" s="5"/>
      <c r="P8" s="5"/>
      <c r="Q8" s="39" t="s">
        <v>128</v>
      </c>
      <c r="R8" s="29" t="s">
        <v>137</v>
      </c>
      <c r="S8" s="29" t="s">
        <v>137</v>
      </c>
      <c r="T8" s="29" t="s">
        <v>137</v>
      </c>
      <c r="U8" s="8"/>
      <c r="V8" s="5"/>
      <c r="W8" s="5"/>
      <c r="X8" s="39" t="s">
        <v>136</v>
      </c>
      <c r="Y8" s="29" t="s">
        <v>137</v>
      </c>
      <c r="Z8" s="29" t="s">
        <v>137</v>
      </c>
      <c r="AA8" s="29" t="s">
        <v>137</v>
      </c>
      <c r="AB8" s="8"/>
      <c r="AC8" s="5"/>
      <c r="AD8" s="5"/>
      <c r="AE8" s="17"/>
      <c r="AF8" s="6"/>
      <c r="AG8" s="12"/>
      <c r="AH8">
        <f>COUNTA(B8:AF8)</f>
        <v>14</v>
      </c>
      <c r="AI8">
        <v>14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44931</v>
      </c>
      <c r="B23" s="50"/>
      <c r="C23" s="50"/>
      <c r="D23" s="18"/>
      <c r="E23" s="50"/>
      <c r="F23" s="50"/>
      <c r="G23" s="18"/>
      <c r="H23" s="51" t="s">
        <v>151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35">
        <v>44950</v>
      </c>
      <c r="B24" s="50"/>
      <c r="C24" s="50"/>
      <c r="D24" s="18"/>
      <c r="E24" s="50"/>
      <c r="F24" s="50"/>
      <c r="G24" s="18"/>
      <c r="H24" s="51" t="s">
        <v>161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35">
        <v>44956</v>
      </c>
      <c r="B25" s="50"/>
      <c r="C25" s="50"/>
      <c r="D25" s="18"/>
      <c r="E25" s="50"/>
      <c r="F25" s="50"/>
      <c r="G25" s="18"/>
      <c r="H25" s="51" t="s">
        <v>163</v>
      </c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57C38-8BD8-4DD9-A846-E47E224E5DA7}">
  <sheetPr codeName="Planilha7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44865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29" t="s">
        <v>126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80054-BEFF-496D-BFC5-A3AC1C7E64AE}">
  <sheetPr codeName="Planilha78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44263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F82F6-B39A-4726-BB7F-1E3530A53640}">
  <sheetPr codeName="Planilha7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44697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29" t="s">
        <v>140</v>
      </c>
      <c r="E8" s="29" t="s">
        <v>140</v>
      </c>
      <c r="F8" s="29" t="s">
        <v>140</v>
      </c>
      <c r="G8" s="8"/>
      <c r="H8" s="5"/>
      <c r="I8" s="5"/>
      <c r="J8" s="29" t="s">
        <v>140</v>
      </c>
      <c r="K8" s="29" t="s">
        <v>140</v>
      </c>
      <c r="L8" s="29" t="s">
        <v>140</v>
      </c>
      <c r="M8" s="29" t="s">
        <v>140</v>
      </c>
      <c r="N8" s="8"/>
      <c r="O8" s="5"/>
      <c r="P8" s="5"/>
      <c r="Q8" s="29" t="s">
        <v>140</v>
      </c>
      <c r="R8" s="29" t="s">
        <v>140</v>
      </c>
      <c r="S8" s="29" t="s">
        <v>140</v>
      </c>
      <c r="T8" s="29" t="s">
        <v>140</v>
      </c>
      <c r="U8" s="6"/>
      <c r="V8" s="5"/>
      <c r="W8" s="5"/>
      <c r="X8" s="29" t="s">
        <v>140</v>
      </c>
      <c r="Y8" s="29" t="s">
        <v>140</v>
      </c>
      <c r="Z8" s="29" t="s">
        <v>140</v>
      </c>
      <c r="AA8" s="29" t="s">
        <v>140</v>
      </c>
      <c r="AB8" s="8"/>
      <c r="AC8" s="5"/>
      <c r="AD8" s="5"/>
      <c r="AE8" s="29" t="s">
        <v>140</v>
      </c>
      <c r="AF8" s="29" t="s">
        <v>140</v>
      </c>
      <c r="AG8" s="12"/>
      <c r="AH8">
        <f>COUNTA(B8:AF8)</f>
        <v>17</v>
      </c>
      <c r="AI8">
        <v>17</v>
      </c>
    </row>
    <row r="9" spans="1:35" ht="15.5" x14ac:dyDescent="0.35">
      <c r="A9" s="3" t="s">
        <v>6</v>
      </c>
      <c r="B9" s="29" t="s">
        <v>140</v>
      </c>
      <c r="C9" s="29" t="s">
        <v>140</v>
      </c>
      <c r="D9" s="8"/>
      <c r="E9" s="5"/>
      <c r="F9" s="5"/>
      <c r="G9" s="29" t="s">
        <v>140</v>
      </c>
      <c r="H9" s="29" t="s">
        <v>140</v>
      </c>
      <c r="I9" s="29" t="s">
        <v>140</v>
      </c>
      <c r="J9" s="29" t="s">
        <v>140</v>
      </c>
      <c r="K9" s="8"/>
      <c r="L9" s="5"/>
      <c r="M9" s="5"/>
      <c r="N9" s="17"/>
      <c r="O9" s="29" t="s">
        <v>140</v>
      </c>
      <c r="P9" s="29" t="s">
        <v>140</v>
      </c>
      <c r="Q9" s="29" t="s">
        <v>140</v>
      </c>
      <c r="R9" s="29" t="s">
        <v>140</v>
      </c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10</v>
      </c>
      <c r="AI9">
        <v>10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F8594-B825-4C0F-B702-AC4D45A4DCD1}">
  <sheetPr codeName="Planilha8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42765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136</v>
      </c>
      <c r="AG8" s="12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34" t="s">
        <v>173</v>
      </c>
      <c r="J9" s="34" t="s">
        <v>174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46EF-79C1-412D-A5DE-E0CF2CD946E5}">
  <sheetPr codeName="Planilha8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44823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1" t="s">
        <v>128</v>
      </c>
      <c r="E8" s="29" t="s">
        <v>137</v>
      </c>
      <c r="F8" s="29" t="s">
        <v>137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31" t="s">
        <v>128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34" t="s">
        <v>135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35">
        <v>44930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36622-A1FF-48E2-8EE7-50E89DE08707}">
  <sheetPr codeName="Planilha8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44606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34" t="s">
        <v>135</v>
      </c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41" t="s">
        <v>135</v>
      </c>
      <c r="Y8" s="6"/>
      <c r="Z8" s="29" t="s">
        <v>126</v>
      </c>
      <c r="AA8" s="6"/>
      <c r="AB8" s="8"/>
      <c r="AC8" s="5"/>
      <c r="AD8" s="5"/>
      <c r="AE8" s="17"/>
      <c r="AF8" s="31" t="s">
        <v>128</v>
      </c>
      <c r="AG8" s="12"/>
      <c r="AH8">
        <f>COUNTA(B8:AF8)</f>
        <v>4</v>
      </c>
      <c r="AI8">
        <v>4</v>
      </c>
    </row>
    <row r="9" spans="1:35" ht="15.5" x14ac:dyDescent="0.35">
      <c r="A9" s="3" t="s">
        <v>6</v>
      </c>
      <c r="B9" s="42" t="s">
        <v>137</v>
      </c>
      <c r="C9" s="42" t="s">
        <v>137</v>
      </c>
      <c r="D9" s="8"/>
      <c r="E9" s="5"/>
      <c r="F9" s="5"/>
      <c r="G9" s="30" t="s">
        <v>166</v>
      </c>
      <c r="H9" s="29" t="s">
        <v>137</v>
      </c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0E933-3324-4B97-ACF4-4B4EB92912C2}">
  <sheetPr codeName="Planilha8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44522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32" t="s">
        <v>128</v>
      </c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31" t="s">
        <v>136</v>
      </c>
      <c r="T8" s="29" t="s">
        <v>159</v>
      </c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E4D2C-8192-46FE-AE15-73C82DC16DFC}">
  <sheetPr codeName="Planilha8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  <c r="AG1" s="12"/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  <c r="AG2" s="12"/>
    </row>
    <row r="3" spans="1:35" ht="15.5" x14ac:dyDescent="0.35">
      <c r="A3" s="13" t="s">
        <v>2</v>
      </c>
      <c r="B3" s="10"/>
      <c r="C3" s="10"/>
      <c r="D3" s="14"/>
      <c r="E3" s="14" t="s">
        <v>107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38306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2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2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  <c r="AG5" s="12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  <c r="AG6" s="12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  <c r="AG7" s="12"/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G8" s="12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41" t="s">
        <v>126</v>
      </c>
      <c r="O9" s="29" t="s">
        <v>137</v>
      </c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G9" s="12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  <c r="AG10" s="12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  <c r="AG11" s="12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  <c r="AG12" s="12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  <c r="AG13" s="12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  <c r="AG14" s="12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  <c r="AG15" s="12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  <c r="AG16" s="12"/>
    </row>
    <row r="17" spans="1:33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  <c r="AG17" s="12"/>
    </row>
    <row r="18" spans="1:33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  <c r="AG18" s="12"/>
    </row>
    <row r="19" spans="1:33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  <c r="AG19" s="12"/>
    </row>
    <row r="20" spans="1:33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2"/>
    </row>
    <row r="21" spans="1:33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2"/>
    </row>
    <row r="22" spans="1:33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  <c r="AG22" s="12"/>
    </row>
    <row r="23" spans="1:33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  <c r="AG23" s="12"/>
    </row>
    <row r="24" spans="1:33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  <c r="AG24" s="12"/>
    </row>
    <row r="25" spans="1:33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  <c r="AG25" s="12"/>
    </row>
    <row r="26" spans="1:33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  <c r="AG26" s="12"/>
    </row>
    <row r="27" spans="1:33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  <c r="AG27" s="12"/>
    </row>
    <row r="28" spans="1:33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  <c r="AG28" s="12"/>
    </row>
    <row r="29" spans="1:33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3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17BD9-02C8-42E7-BD0C-A0C95FEF6EA9}">
  <sheetPr codeName="Planilha8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108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44061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32" t="s">
        <v>128</v>
      </c>
      <c r="D8" s="32" t="s">
        <v>128</v>
      </c>
      <c r="E8" s="32" t="s">
        <v>128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44928</v>
      </c>
      <c r="B23" s="50"/>
      <c r="C23" s="50"/>
      <c r="D23" s="18"/>
      <c r="E23" s="50"/>
      <c r="F23" s="50"/>
      <c r="G23" s="18"/>
      <c r="H23" s="51" t="s">
        <v>141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730B1-AB39-4EEE-BABE-E9318CC716B7}">
  <sheetPr codeName="Planilha8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109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40777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33" t="s">
        <v>126</v>
      </c>
      <c r="D8" s="6"/>
      <c r="E8" s="6"/>
      <c r="F8" s="34" t="s">
        <v>135</v>
      </c>
      <c r="G8" s="8"/>
      <c r="H8" s="5"/>
      <c r="I8" s="5"/>
      <c r="J8" s="32" t="s">
        <v>128</v>
      </c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29" t="s">
        <v>126</v>
      </c>
      <c r="R9" s="8"/>
      <c r="S9" s="5"/>
      <c r="T9" s="5"/>
      <c r="U9" s="39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7204-B0BC-407D-BB1A-726772FE327C}">
  <sheetPr codeName="Planilha8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44753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 t="s">
        <v>33</v>
      </c>
      <c r="D8" s="6"/>
      <c r="E8" s="6"/>
      <c r="F8" s="6"/>
      <c r="G8" s="8"/>
      <c r="H8" s="5"/>
      <c r="I8" s="5"/>
      <c r="J8" s="17"/>
      <c r="K8" s="6"/>
      <c r="L8" s="31" t="s">
        <v>128</v>
      </c>
      <c r="M8" s="6"/>
      <c r="N8" s="8"/>
      <c r="O8" s="5"/>
      <c r="P8" s="5"/>
      <c r="Q8" s="17"/>
      <c r="R8" s="31" t="s">
        <v>128</v>
      </c>
      <c r="S8" s="34" t="s">
        <v>154</v>
      </c>
      <c r="T8" s="34" t="s">
        <v>139</v>
      </c>
      <c r="U8" s="8"/>
      <c r="V8" s="5"/>
      <c r="W8" s="5"/>
      <c r="X8" s="17"/>
      <c r="Y8" s="6"/>
      <c r="Z8" s="34" t="s">
        <v>139</v>
      </c>
      <c r="AA8" s="6"/>
      <c r="AB8" s="8"/>
      <c r="AC8" s="5"/>
      <c r="AD8" s="5"/>
      <c r="AE8" s="17"/>
      <c r="AF8" s="6"/>
      <c r="AH8">
        <f>COUNTA(B8:AF8)</f>
        <v>6</v>
      </c>
      <c r="AI8">
        <v>6</v>
      </c>
    </row>
    <row r="9" spans="1:35" ht="15.5" x14ac:dyDescent="0.35">
      <c r="A9" s="3" t="s">
        <v>6</v>
      </c>
      <c r="B9" s="46" t="s">
        <v>139</v>
      </c>
      <c r="C9" s="18"/>
      <c r="D9" s="8"/>
      <c r="E9" s="5"/>
      <c r="F9" s="5"/>
      <c r="G9" s="17"/>
      <c r="H9" s="6"/>
      <c r="I9" s="34" t="s">
        <v>135</v>
      </c>
      <c r="J9" s="34" t="s">
        <v>154</v>
      </c>
      <c r="K9" s="8"/>
      <c r="L9" s="5"/>
      <c r="M9" s="5"/>
      <c r="N9" s="17"/>
      <c r="O9" s="34" t="s">
        <v>154</v>
      </c>
      <c r="P9" s="6"/>
      <c r="Q9" s="6"/>
      <c r="R9" s="8"/>
      <c r="S9" s="5"/>
      <c r="T9" s="5"/>
      <c r="U9" s="39" t="s">
        <v>128</v>
      </c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C04B-BC18-44F7-BC96-F4FBC7F254D8}">
  <sheetPr codeName="Planilha88"/>
  <dimension ref="A1:AI30"/>
  <sheetViews>
    <sheetView topLeftCell="A3"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111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44810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128</v>
      </c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31" t="s">
        <v>135</v>
      </c>
      <c r="J9" s="31" t="s">
        <v>128</v>
      </c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44965</v>
      </c>
      <c r="B23" s="50"/>
      <c r="C23" s="50"/>
      <c r="D23" s="18"/>
      <c r="E23" s="50"/>
      <c r="F23" s="50"/>
      <c r="G23" s="18"/>
      <c r="H23" s="51" t="s">
        <v>171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35">
        <v>44966</v>
      </c>
      <c r="B24" s="50"/>
      <c r="C24" s="50"/>
      <c r="D24" s="18"/>
      <c r="E24" s="50"/>
      <c r="F24" s="50"/>
      <c r="G24" s="18"/>
      <c r="H24" s="51" t="s">
        <v>160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35">
        <v>44966</v>
      </c>
      <c r="B25" s="50"/>
      <c r="C25" s="50"/>
      <c r="D25" s="18"/>
      <c r="E25" s="50"/>
      <c r="F25" s="50"/>
      <c r="G25" s="18"/>
      <c r="H25" s="51" t="s">
        <v>172</v>
      </c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5678A-5B09-4E29-9A45-C8F1FC81B805}">
  <sheetPr codeName="Planilha89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112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44774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48" t="s">
        <v>128</v>
      </c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2B438-7BF7-4EAD-9974-EFE5FF6502A2}">
  <sheetPr codeName="Planilha90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113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44424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31" t="s">
        <v>136</v>
      </c>
      <c r="E8" s="29" t="s">
        <v>137</v>
      </c>
      <c r="F8" s="29" t="s">
        <v>137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34" t="s">
        <v>135</v>
      </c>
      <c r="I9" s="34" t="s">
        <v>126</v>
      </c>
      <c r="J9" s="34" t="s">
        <v>126</v>
      </c>
      <c r="K9" s="8"/>
      <c r="L9" s="5"/>
      <c r="M9" s="5"/>
      <c r="N9" s="17"/>
      <c r="O9" s="6"/>
      <c r="P9" s="6"/>
      <c r="Q9" s="34" t="s">
        <v>135</v>
      </c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4</v>
      </c>
      <c r="AI9">
        <v>4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44930</v>
      </c>
      <c r="B23" s="50"/>
      <c r="C23" s="50"/>
      <c r="D23" s="18"/>
      <c r="E23" s="50"/>
      <c r="F23" s="50"/>
      <c r="G23" s="18"/>
      <c r="H23" s="51" t="s">
        <v>142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6A8A-1EE1-410F-9EC3-CE6A65B9262C}">
  <sheetPr codeName="Planilha91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114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44333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31" t="s">
        <v>128</v>
      </c>
      <c r="AB8" s="8"/>
      <c r="AC8" s="5"/>
      <c r="AD8" s="5"/>
      <c r="AE8" s="17"/>
      <c r="AF8" s="6"/>
      <c r="AH8">
        <f>COUNTA(B8:AF8)</f>
        <v>1</v>
      </c>
      <c r="AI8">
        <v>1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FF4E-F8AB-4BF1-AA6D-10A8C4F42CBE}">
  <sheetPr codeName="Planilha92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115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44169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0</v>
      </c>
      <c r="AI8">
        <v>0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0</v>
      </c>
      <c r="AI9">
        <v>0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/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46F92-1E03-4491-B37B-71ECD9A9D618}">
  <sheetPr codeName="Planilha93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116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44690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29" t="s">
        <v>137</v>
      </c>
      <c r="G8" s="8"/>
      <c r="H8" s="5"/>
      <c r="I8" s="5"/>
      <c r="J8" s="33" t="s">
        <v>137</v>
      </c>
      <c r="K8" s="6"/>
      <c r="L8" s="6"/>
      <c r="M8" s="6"/>
      <c r="N8" s="8"/>
      <c r="O8" s="5"/>
      <c r="P8" s="5"/>
      <c r="Q8" s="41" t="s">
        <v>154</v>
      </c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4</v>
      </c>
      <c r="AI8">
        <v>4</v>
      </c>
    </row>
    <row r="9" spans="1:35" ht="15.5" x14ac:dyDescent="0.35">
      <c r="A9" s="3" t="s">
        <v>6</v>
      </c>
      <c r="B9" s="48" t="s">
        <v>128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41" t="s">
        <v>126</v>
      </c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34" t="s">
        <v>139</v>
      </c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44931</v>
      </c>
      <c r="B23" s="50"/>
      <c r="C23" s="50"/>
      <c r="D23" s="18"/>
      <c r="E23" s="50"/>
      <c r="F23" s="50"/>
      <c r="G23" s="18"/>
      <c r="H23" s="51" t="s">
        <v>142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35">
        <v>44964</v>
      </c>
      <c r="B24" s="50"/>
      <c r="C24" s="50"/>
      <c r="D24" s="18"/>
      <c r="E24" s="50" t="s">
        <v>165</v>
      </c>
      <c r="F24" s="50"/>
      <c r="G24" s="18"/>
      <c r="H24" s="51" t="s">
        <v>164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D918-858A-431A-AC1F-B02B280D92CC}">
  <sheetPr codeName="Planilha94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117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44431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32" t="s">
        <v>128</v>
      </c>
      <c r="D8" s="6"/>
      <c r="E8" s="6"/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34" t="s">
        <v>139</v>
      </c>
      <c r="U8" s="8"/>
      <c r="V8" s="5"/>
      <c r="W8" s="5"/>
      <c r="X8" s="17"/>
      <c r="Y8" s="6"/>
      <c r="Z8" s="31" t="s">
        <v>128</v>
      </c>
      <c r="AA8" s="6"/>
      <c r="AB8" s="8"/>
      <c r="AC8" s="5"/>
      <c r="AD8" s="5"/>
      <c r="AE8" s="17"/>
      <c r="AF8" s="6"/>
      <c r="AH8">
        <f>COUNTA(B8:AF8)</f>
        <v>3</v>
      </c>
      <c r="AI8">
        <v>3</v>
      </c>
    </row>
    <row r="9" spans="1:35" ht="15.5" x14ac:dyDescent="0.35">
      <c r="A9" s="3" t="s">
        <v>6</v>
      </c>
      <c r="B9" s="46" t="s">
        <v>139</v>
      </c>
      <c r="C9" s="18"/>
      <c r="D9" s="8"/>
      <c r="E9" s="5"/>
      <c r="F9" s="5"/>
      <c r="G9" s="17"/>
      <c r="H9" s="6"/>
      <c r="I9" s="6"/>
      <c r="J9" s="31" t="s">
        <v>128</v>
      </c>
      <c r="K9" s="8"/>
      <c r="L9" s="5"/>
      <c r="M9" s="5"/>
      <c r="N9" s="39" t="s">
        <v>128</v>
      </c>
      <c r="O9" s="39" t="s">
        <v>128</v>
      </c>
      <c r="P9" s="39" t="s">
        <v>128</v>
      </c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5</v>
      </c>
      <c r="AI9">
        <v>5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44958</v>
      </c>
      <c r="B23" s="50"/>
      <c r="C23" s="50"/>
      <c r="D23" s="18"/>
      <c r="E23" s="50" t="s">
        <v>165</v>
      </c>
      <c r="F23" s="50"/>
      <c r="G23" s="18"/>
      <c r="H23" s="51" t="s">
        <v>164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CF51-27CE-478B-8A6D-7EFA1978C279}">
  <sheetPr codeName="Planilha95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118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44039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36" t="s">
        <v>126</v>
      </c>
      <c r="D8" s="6"/>
      <c r="E8" s="31" t="s">
        <v>128</v>
      </c>
      <c r="F8" s="29" t="s">
        <v>137</v>
      </c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6"/>
      <c r="AH8">
        <f>COUNTA(B8:AF8)</f>
        <v>3</v>
      </c>
      <c r="AI8">
        <v>3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34" t="s">
        <v>135</v>
      </c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44931</v>
      </c>
      <c r="B23" s="50"/>
      <c r="C23" s="50"/>
      <c r="D23" s="18"/>
      <c r="E23" s="50"/>
      <c r="F23" s="50"/>
      <c r="G23" s="18"/>
      <c r="H23" s="51" t="s">
        <v>142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4E3EA-EBE3-4B3D-A6F5-C8D4E6DC3BA6}">
  <sheetPr codeName="Planilha96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119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>
        <v>44823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32" t="s">
        <v>128</v>
      </c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32" t="s">
        <v>128</v>
      </c>
      <c r="AF8" s="6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32" t="s">
        <v>128</v>
      </c>
      <c r="H9" s="32" t="s">
        <v>128</v>
      </c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44963</v>
      </c>
      <c r="B23" s="50"/>
      <c r="C23" s="50"/>
      <c r="D23" s="18"/>
      <c r="E23" s="50"/>
      <c r="F23" s="50"/>
      <c r="G23" s="18"/>
      <c r="H23" s="51" t="s">
        <v>167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35">
        <v>44964</v>
      </c>
      <c r="B24" s="50"/>
      <c r="C24" s="50"/>
      <c r="D24" s="18"/>
      <c r="E24" s="50"/>
      <c r="F24" s="50"/>
      <c r="G24" s="18"/>
      <c r="H24" s="51" t="s">
        <v>167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3C43D-53E3-4878-BD12-4FD583D57A66}">
  <sheetPr codeName="Planilha97"/>
  <dimension ref="A1:AI30"/>
  <sheetViews>
    <sheetView workbookViewId="0">
      <selection activeCell="AI8" sqref="AI8:AI9"/>
    </sheetView>
  </sheetViews>
  <sheetFormatPr defaultRowHeight="14.5" x14ac:dyDescent="0.35"/>
  <cols>
    <col min="1" max="1" width="7.7265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120</v>
      </c>
      <c r="F3" s="14"/>
      <c r="G3" s="14"/>
      <c r="H3" s="14"/>
      <c r="I3" s="14"/>
      <c r="J3" s="14"/>
      <c r="K3" s="10"/>
      <c r="L3" s="10" t="s">
        <v>3</v>
      </c>
      <c r="M3" s="10"/>
      <c r="N3" s="10"/>
      <c r="O3" s="14"/>
      <c r="P3" s="24" t="s">
        <v>121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31" t="s">
        <v>128</v>
      </c>
      <c r="F8" s="6"/>
      <c r="G8" s="8"/>
      <c r="H8" s="5"/>
      <c r="I8" s="5"/>
      <c r="J8" s="17"/>
      <c r="K8" s="6"/>
      <c r="L8" s="6"/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30" t="s">
        <v>126</v>
      </c>
      <c r="AF8" s="6"/>
      <c r="AH8">
        <f>COUNTA(B8:AF8)</f>
        <v>2</v>
      </c>
      <c r="AI8">
        <v>2</v>
      </c>
    </row>
    <row r="9" spans="1:35" ht="15.5" x14ac:dyDescent="0.35">
      <c r="A9" s="3" t="s">
        <v>6</v>
      </c>
      <c r="B9" s="18"/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17"/>
      <c r="O9" s="6"/>
      <c r="P9" s="6"/>
      <c r="Q9" s="6"/>
      <c r="R9" s="8"/>
      <c r="S9" s="5"/>
      <c r="T9" s="5"/>
      <c r="U9" s="17"/>
      <c r="V9" s="31" t="s">
        <v>128</v>
      </c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1</v>
      </c>
      <c r="AI9">
        <v>1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22"/>
      <c r="B23" s="50"/>
      <c r="C23" s="50"/>
      <c r="D23" s="18"/>
      <c r="E23" s="50"/>
      <c r="F23" s="50"/>
      <c r="G23" s="18"/>
      <c r="H23" s="51"/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22"/>
      <c r="B24" s="50"/>
      <c r="C24" s="50"/>
      <c r="D24" s="18"/>
      <c r="E24" s="50"/>
      <c r="F24" s="50"/>
      <c r="G24" s="18"/>
      <c r="H24" s="51"/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  <pageSetup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9A786-DE6A-4918-A7F1-3BCFD68DD5F6}">
  <sheetPr codeName="Planilha99"/>
  <dimension ref="A1:AI30"/>
  <sheetViews>
    <sheetView workbookViewId="0">
      <selection activeCell="AI8" sqref="AI8:AI9"/>
    </sheetView>
  </sheetViews>
  <sheetFormatPr defaultRowHeight="14.5" x14ac:dyDescent="0.35"/>
  <cols>
    <col min="1" max="1" width="9.81640625" customWidth="1"/>
    <col min="2" max="2" width="8.26953125" customWidth="1"/>
    <col min="3" max="3" width="8.1796875" customWidth="1"/>
    <col min="4" max="4" width="8" customWidth="1"/>
    <col min="5" max="5" width="7.81640625" customWidth="1"/>
    <col min="6" max="6" width="7.7265625" customWidth="1"/>
    <col min="7" max="7" width="7.81640625" customWidth="1"/>
    <col min="8" max="8" width="8.453125" customWidth="1"/>
    <col min="9" max="9" width="7.81640625" customWidth="1"/>
    <col min="10" max="10" width="8.1796875" customWidth="1"/>
    <col min="11" max="11" width="8.453125" customWidth="1"/>
    <col min="12" max="12" width="8" customWidth="1"/>
    <col min="13" max="13" width="7.7265625" customWidth="1"/>
    <col min="14" max="14" width="8" customWidth="1"/>
    <col min="15" max="15" width="7.81640625" customWidth="1"/>
    <col min="16" max="16" width="11.453125" customWidth="1"/>
    <col min="17" max="19" width="7.81640625" customWidth="1"/>
    <col min="20" max="20" width="8.1796875" customWidth="1"/>
    <col min="21" max="21" width="8.453125" customWidth="1"/>
    <col min="22" max="22" width="8.81640625" customWidth="1"/>
    <col min="23" max="23" width="8.26953125" customWidth="1"/>
    <col min="24" max="24" width="8.1796875" customWidth="1"/>
    <col min="25" max="27" width="8" customWidth="1"/>
    <col min="28" max="28" width="8.1796875" customWidth="1"/>
    <col min="29" max="29" width="8" customWidth="1"/>
    <col min="30" max="30" width="7.81640625" customWidth="1"/>
    <col min="31" max="31" width="8.26953125" customWidth="1"/>
    <col min="32" max="32" width="10.26953125" customWidth="1"/>
  </cols>
  <sheetData>
    <row r="1" spans="1:35" ht="15.5" x14ac:dyDescent="0.3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57">
        <v>2023</v>
      </c>
      <c r="W1" s="57"/>
      <c r="X1" s="10"/>
      <c r="Y1" s="10"/>
      <c r="Z1" s="10"/>
      <c r="AA1" s="10"/>
      <c r="AB1" s="10"/>
      <c r="AC1" s="10"/>
      <c r="AD1" s="10"/>
      <c r="AE1" s="10"/>
      <c r="AF1" s="11" t="s">
        <v>0</v>
      </c>
    </row>
    <row r="2" spans="1:35" ht="15.5" x14ac:dyDescent="0.35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1" t="s">
        <v>1</v>
      </c>
    </row>
    <row r="3" spans="1:35" ht="15.5" x14ac:dyDescent="0.35">
      <c r="A3" s="13" t="s">
        <v>2</v>
      </c>
      <c r="B3" s="10"/>
      <c r="C3" s="10"/>
      <c r="D3" s="14"/>
      <c r="E3" s="14" t="s">
        <v>122</v>
      </c>
      <c r="F3" s="14"/>
      <c r="G3" s="14" t="s">
        <v>33</v>
      </c>
      <c r="H3" s="14"/>
      <c r="I3" s="14"/>
      <c r="J3" s="14"/>
      <c r="K3" s="10"/>
      <c r="L3" s="10" t="s">
        <v>3</v>
      </c>
      <c r="M3" s="10"/>
      <c r="N3" s="10"/>
      <c r="O3" s="14"/>
      <c r="P3" s="24">
        <v>44662</v>
      </c>
      <c r="Q3" s="14"/>
      <c r="R3" s="14"/>
      <c r="S3" s="10"/>
      <c r="T3" s="10"/>
      <c r="U3" s="15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5" ht="15.5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5" ht="15.5" x14ac:dyDescent="0.35">
      <c r="A5" s="58" t="s">
        <v>4</v>
      </c>
      <c r="B5" s="58"/>
      <c r="C5" s="58"/>
      <c r="D5" s="58"/>
      <c r="E5" s="58"/>
      <c r="F5" s="58"/>
      <c r="G5" s="58"/>
      <c r="H5" s="58"/>
      <c r="I5" s="58"/>
      <c r="J5" s="58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6"/>
    </row>
    <row r="6" spans="1:35" ht="15.5" x14ac:dyDescent="0.35">
      <c r="A6" s="13"/>
      <c r="B6" s="59"/>
      <c r="C6" s="59"/>
      <c r="D6" s="10"/>
      <c r="E6" s="59"/>
      <c r="F6" s="59"/>
      <c r="G6" s="10"/>
      <c r="H6" s="59"/>
      <c r="I6" s="59"/>
      <c r="J6" s="59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6"/>
    </row>
    <row r="7" spans="1:35" ht="15.5" x14ac:dyDescent="0.35">
      <c r="A7" s="1"/>
      <c r="B7" s="2">
        <v>1</v>
      </c>
      <c r="C7" s="2">
        <v>2</v>
      </c>
      <c r="D7" s="2">
        <v>3</v>
      </c>
      <c r="E7" s="2">
        <v>4</v>
      </c>
      <c r="F7" s="2">
        <v>5</v>
      </c>
      <c r="G7" s="2">
        <v>6</v>
      </c>
      <c r="H7" s="2">
        <v>7</v>
      </c>
      <c r="I7" s="2">
        <v>8</v>
      </c>
      <c r="J7" s="2">
        <v>9</v>
      </c>
      <c r="K7" s="2">
        <v>10</v>
      </c>
      <c r="L7" s="2">
        <v>11</v>
      </c>
      <c r="M7" s="2">
        <v>12</v>
      </c>
      <c r="N7" s="2">
        <v>13</v>
      </c>
      <c r="O7" s="2">
        <v>14</v>
      </c>
      <c r="P7" s="2">
        <v>15</v>
      </c>
      <c r="Q7" s="2">
        <v>16</v>
      </c>
      <c r="R7" s="2">
        <v>17</v>
      </c>
      <c r="S7" s="2">
        <v>18</v>
      </c>
      <c r="T7" s="2">
        <v>19</v>
      </c>
      <c r="U7" s="2">
        <v>20</v>
      </c>
      <c r="V7" s="2">
        <v>21</v>
      </c>
      <c r="W7" s="2">
        <v>22</v>
      </c>
      <c r="X7" s="2">
        <v>23</v>
      </c>
      <c r="Y7" s="2">
        <v>24</v>
      </c>
      <c r="Z7" s="2">
        <v>25</v>
      </c>
      <c r="AA7" s="2">
        <v>26</v>
      </c>
      <c r="AB7" s="2">
        <v>27</v>
      </c>
      <c r="AC7" s="2">
        <v>28</v>
      </c>
      <c r="AD7" s="2">
        <v>29</v>
      </c>
      <c r="AE7" s="2">
        <v>30</v>
      </c>
      <c r="AF7" s="2">
        <v>31</v>
      </c>
    </row>
    <row r="8" spans="1:35" ht="15.5" x14ac:dyDescent="0.35">
      <c r="A8" s="3" t="s">
        <v>5</v>
      </c>
      <c r="B8" s="4"/>
      <c r="C8" s="17"/>
      <c r="D8" s="6"/>
      <c r="E8" s="6"/>
      <c r="F8" s="6"/>
      <c r="G8" s="8"/>
      <c r="H8" s="5"/>
      <c r="I8" s="5"/>
      <c r="J8" s="17"/>
      <c r="K8" s="31" t="s">
        <v>128</v>
      </c>
      <c r="L8" s="29" t="s">
        <v>137</v>
      </c>
      <c r="M8" s="6"/>
      <c r="N8" s="8"/>
      <c r="O8" s="5"/>
      <c r="P8" s="5"/>
      <c r="Q8" s="17"/>
      <c r="R8" s="6"/>
      <c r="S8" s="6"/>
      <c r="T8" s="6"/>
      <c r="U8" s="8"/>
      <c r="V8" s="5"/>
      <c r="W8" s="5"/>
      <c r="X8" s="17"/>
      <c r="Y8" s="6"/>
      <c r="Z8" s="6"/>
      <c r="AA8" s="6"/>
      <c r="AB8" s="8"/>
      <c r="AC8" s="5"/>
      <c r="AD8" s="5"/>
      <c r="AE8" s="17"/>
      <c r="AF8" s="31" t="s">
        <v>128</v>
      </c>
      <c r="AH8">
        <f>COUNTA(B8:AF8)</f>
        <v>3</v>
      </c>
      <c r="AI8">
        <v>3</v>
      </c>
    </row>
    <row r="9" spans="1:35" ht="15.5" x14ac:dyDescent="0.35">
      <c r="A9" s="3" t="s">
        <v>6</v>
      </c>
      <c r="B9" s="42" t="s">
        <v>137</v>
      </c>
      <c r="C9" s="18"/>
      <c r="D9" s="8"/>
      <c r="E9" s="5"/>
      <c r="F9" s="5"/>
      <c r="G9" s="17"/>
      <c r="H9" s="6"/>
      <c r="I9" s="6"/>
      <c r="J9" s="6"/>
      <c r="K9" s="8"/>
      <c r="L9" s="5"/>
      <c r="M9" s="5"/>
      <c r="N9" s="41" t="s">
        <v>139</v>
      </c>
      <c r="O9" s="6"/>
      <c r="P9" s="6"/>
      <c r="Q9" s="6"/>
      <c r="R9" s="8"/>
      <c r="S9" s="5"/>
      <c r="T9" s="5"/>
      <c r="U9" s="17"/>
      <c r="V9" s="6"/>
      <c r="W9" s="6"/>
      <c r="X9" s="6"/>
      <c r="Y9" s="8"/>
      <c r="Z9" s="5"/>
      <c r="AA9" s="5"/>
      <c r="AB9" s="17"/>
      <c r="AC9" s="6"/>
      <c r="AD9" s="7"/>
      <c r="AE9" s="7"/>
      <c r="AF9" s="7"/>
      <c r="AH9">
        <f>COUNTA(B9:AF9)</f>
        <v>2</v>
      </c>
      <c r="AI9">
        <v>2</v>
      </c>
    </row>
    <row r="10" spans="1:35" ht="15.5" x14ac:dyDescent="0.35">
      <c r="A10" s="3" t="s">
        <v>7</v>
      </c>
      <c r="B10" s="18"/>
      <c r="C10" s="18"/>
      <c r="D10" s="8"/>
      <c r="E10" s="5"/>
      <c r="F10" s="5"/>
      <c r="G10" s="17"/>
      <c r="H10" s="6"/>
      <c r="I10" s="6"/>
      <c r="J10" s="6"/>
      <c r="K10" s="8"/>
      <c r="L10" s="5"/>
      <c r="M10" s="5"/>
      <c r="N10" s="17"/>
      <c r="O10" s="6"/>
      <c r="P10" s="6"/>
      <c r="Q10" s="6"/>
      <c r="R10" s="8"/>
      <c r="S10" s="5"/>
      <c r="T10" s="5"/>
      <c r="U10" s="17"/>
      <c r="V10" s="6"/>
      <c r="W10" s="6"/>
      <c r="X10" s="6"/>
      <c r="Y10" s="8"/>
      <c r="Z10" s="5"/>
      <c r="AA10" s="5"/>
      <c r="AB10" s="17"/>
      <c r="AC10" s="6"/>
      <c r="AD10" s="6"/>
      <c r="AE10" s="6"/>
      <c r="AF10" s="8"/>
    </row>
    <row r="11" spans="1:35" ht="15.5" x14ac:dyDescent="0.35">
      <c r="A11" s="3" t="s">
        <v>8</v>
      </c>
      <c r="B11" s="5"/>
      <c r="C11" s="5"/>
      <c r="D11" s="17"/>
      <c r="E11" s="18"/>
      <c r="F11" s="6"/>
      <c r="G11" s="6"/>
      <c r="H11" s="8"/>
      <c r="I11" s="5"/>
      <c r="J11" s="5"/>
      <c r="K11" s="17"/>
      <c r="L11" s="6"/>
      <c r="M11" s="6"/>
      <c r="N11" s="6"/>
      <c r="O11" s="8"/>
      <c r="P11" s="5"/>
      <c r="Q11" s="5"/>
      <c r="R11" s="17"/>
      <c r="S11" s="6"/>
      <c r="T11" s="6"/>
      <c r="U11" s="6"/>
      <c r="V11" s="8"/>
      <c r="W11" s="5"/>
      <c r="X11" s="5"/>
      <c r="Y11" s="8"/>
      <c r="Z11" s="6"/>
      <c r="AA11" s="6"/>
      <c r="AB11" s="6"/>
      <c r="AC11" s="8"/>
      <c r="AD11" s="5"/>
      <c r="AE11" s="5"/>
      <c r="AF11" s="7"/>
    </row>
    <row r="12" spans="1:35" ht="15.5" x14ac:dyDescent="0.35">
      <c r="A12" s="3" t="s">
        <v>9</v>
      </c>
      <c r="B12" s="18"/>
      <c r="C12" s="18"/>
      <c r="D12" s="18"/>
      <c r="E12" s="18"/>
      <c r="F12" s="8"/>
      <c r="G12" s="5"/>
      <c r="H12" s="5"/>
      <c r="I12" s="8"/>
      <c r="J12" s="6"/>
      <c r="K12" s="6"/>
      <c r="L12" s="6"/>
      <c r="M12" s="8"/>
      <c r="N12" s="5"/>
      <c r="O12" s="5"/>
      <c r="P12" s="8"/>
      <c r="Q12" s="6"/>
      <c r="R12" s="6"/>
      <c r="S12" s="6"/>
      <c r="T12" s="8"/>
      <c r="U12" s="5"/>
      <c r="V12" s="5"/>
      <c r="W12" s="8"/>
      <c r="X12" s="6"/>
      <c r="Y12" s="6"/>
      <c r="Z12" s="6"/>
      <c r="AA12" s="8"/>
      <c r="AB12" s="5"/>
      <c r="AC12" s="5"/>
      <c r="AD12" s="8"/>
      <c r="AE12" s="6"/>
      <c r="AF12" s="6"/>
    </row>
    <row r="13" spans="1:35" ht="15.5" x14ac:dyDescent="0.35">
      <c r="A13" s="3" t="s">
        <v>10</v>
      </c>
      <c r="B13" s="18"/>
      <c r="C13" s="8"/>
      <c r="D13" s="5"/>
      <c r="E13" s="5"/>
      <c r="F13" s="8"/>
      <c r="G13" s="6"/>
      <c r="H13" s="6"/>
      <c r="I13" s="6"/>
      <c r="J13" s="8"/>
      <c r="K13" s="5"/>
      <c r="L13" s="5"/>
      <c r="M13" s="8"/>
      <c r="N13" s="6"/>
      <c r="O13" s="6"/>
      <c r="P13" s="6"/>
      <c r="Q13" s="8"/>
      <c r="R13" s="5"/>
      <c r="S13" s="5"/>
      <c r="T13" s="8"/>
      <c r="U13" s="6"/>
      <c r="V13" s="6"/>
      <c r="W13" s="6"/>
      <c r="X13" s="8"/>
      <c r="Y13" s="5"/>
      <c r="Z13" s="5"/>
      <c r="AA13" s="8"/>
      <c r="AB13" s="6"/>
      <c r="AC13" s="6"/>
      <c r="AD13" s="6"/>
      <c r="AE13" s="8"/>
      <c r="AF13" s="7"/>
    </row>
    <row r="14" spans="1:35" ht="15.5" x14ac:dyDescent="0.35">
      <c r="A14" s="3" t="s">
        <v>11</v>
      </c>
      <c r="B14" s="5"/>
      <c r="C14" s="5"/>
      <c r="E14" s="8" t="s">
        <v>33</v>
      </c>
      <c r="F14" s="6"/>
      <c r="G14" s="6"/>
      <c r="H14" s="8"/>
      <c r="I14" s="5"/>
      <c r="J14" s="5"/>
      <c r="K14" s="8"/>
      <c r="L14" s="6"/>
      <c r="M14" s="6"/>
      <c r="N14" s="6"/>
      <c r="O14" s="8"/>
      <c r="P14" s="5"/>
      <c r="Q14" s="5"/>
      <c r="R14" s="6"/>
      <c r="S14" s="6"/>
      <c r="T14" s="6"/>
      <c r="U14" s="6"/>
      <c r="V14" s="8"/>
      <c r="W14" s="5"/>
      <c r="X14" s="5"/>
      <c r="Y14" s="8"/>
      <c r="Z14" s="6"/>
      <c r="AA14" s="6"/>
      <c r="AB14" s="6"/>
      <c r="AC14" s="8"/>
      <c r="AD14" s="5"/>
      <c r="AE14" s="5"/>
      <c r="AF14" s="8"/>
    </row>
    <row r="15" spans="1:35" ht="15.5" x14ac:dyDescent="0.35">
      <c r="A15" s="3" t="s">
        <v>12</v>
      </c>
      <c r="B15" s="18"/>
      <c r="C15" s="18"/>
      <c r="D15" s="18"/>
      <c r="E15" s="18"/>
      <c r="F15" s="5"/>
      <c r="G15" s="5"/>
      <c r="H15" s="8"/>
      <c r="I15" s="6"/>
      <c r="J15" s="6"/>
      <c r="K15" s="6"/>
      <c r="L15" s="6"/>
      <c r="M15" s="5"/>
      <c r="N15" s="5"/>
      <c r="O15" s="8"/>
      <c r="P15" s="6"/>
      <c r="Q15" s="6"/>
      <c r="R15" s="6"/>
      <c r="S15" s="6"/>
      <c r="T15" s="5"/>
      <c r="U15" s="5"/>
      <c r="V15" s="8"/>
      <c r="W15" s="6"/>
      <c r="X15" s="6"/>
      <c r="Y15" s="6"/>
      <c r="Z15" s="6"/>
      <c r="AA15" s="5"/>
      <c r="AB15" s="5"/>
      <c r="AC15" s="8"/>
      <c r="AD15" s="6"/>
      <c r="AE15" s="6"/>
      <c r="AF15" s="6"/>
    </row>
    <row r="16" spans="1:35" ht="15.5" x14ac:dyDescent="0.35">
      <c r="A16" s="3" t="s">
        <v>13</v>
      </c>
      <c r="B16" s="18"/>
      <c r="C16" s="5"/>
      <c r="D16" s="5"/>
      <c r="E16" s="8"/>
      <c r="F16" s="6"/>
      <c r="G16" s="6"/>
      <c r="H16" s="6"/>
      <c r="I16" s="6"/>
      <c r="J16" s="5"/>
      <c r="K16" s="5"/>
      <c r="L16" s="8"/>
      <c r="M16" s="6"/>
      <c r="N16" s="6"/>
      <c r="O16" s="6"/>
      <c r="P16" s="6"/>
      <c r="Q16" s="5"/>
      <c r="R16" s="5"/>
      <c r="S16" s="8"/>
      <c r="T16" s="6"/>
      <c r="U16" s="6"/>
      <c r="V16" s="6"/>
      <c r="W16" s="6"/>
      <c r="X16" s="5"/>
      <c r="Y16" s="5"/>
      <c r="Z16" s="8"/>
      <c r="AA16" s="6"/>
      <c r="AB16" s="6"/>
      <c r="AC16" s="6"/>
      <c r="AD16" s="6"/>
      <c r="AE16" s="5"/>
      <c r="AF16" s="7"/>
    </row>
    <row r="17" spans="1:32" ht="15.5" x14ac:dyDescent="0.35">
      <c r="A17" s="3" t="s">
        <v>14</v>
      </c>
      <c r="B17" s="5"/>
      <c r="C17" s="8"/>
      <c r="D17" s="18"/>
      <c r="E17" s="18"/>
      <c r="F17" s="6"/>
      <c r="G17" s="6"/>
      <c r="H17" s="5"/>
      <c r="I17" s="5"/>
      <c r="J17" s="8"/>
      <c r="K17" s="6"/>
      <c r="L17" s="6"/>
      <c r="M17" s="6"/>
      <c r="N17" s="6"/>
      <c r="O17" s="5"/>
      <c r="P17" s="5"/>
      <c r="Q17" s="8"/>
      <c r="R17" s="6"/>
      <c r="S17" s="6"/>
      <c r="T17" s="6"/>
      <c r="U17" s="6"/>
      <c r="V17" s="5"/>
      <c r="W17" s="5"/>
      <c r="X17" s="8"/>
      <c r="Y17" s="6"/>
      <c r="Z17" s="6"/>
      <c r="AA17" s="6"/>
      <c r="AB17" s="6"/>
      <c r="AC17" s="5"/>
      <c r="AD17" s="5"/>
      <c r="AE17" s="8"/>
      <c r="AF17" s="6"/>
    </row>
    <row r="18" spans="1:32" ht="15.5" x14ac:dyDescent="0.35">
      <c r="A18" s="3" t="s">
        <v>15</v>
      </c>
      <c r="B18" s="18"/>
      <c r="C18" s="18"/>
      <c r="D18" s="18"/>
      <c r="E18" s="5"/>
      <c r="F18" s="5"/>
      <c r="G18" s="8"/>
      <c r="H18" s="6"/>
      <c r="I18" s="6"/>
      <c r="J18" s="6"/>
      <c r="K18" s="6"/>
      <c r="L18" s="5"/>
      <c r="M18" s="5"/>
      <c r="N18" s="8"/>
      <c r="O18" s="6"/>
      <c r="P18" s="6"/>
      <c r="Q18" s="6"/>
      <c r="R18" s="6"/>
      <c r="S18" s="5"/>
      <c r="T18" s="5"/>
      <c r="U18" s="8"/>
      <c r="V18" s="6"/>
      <c r="W18" s="6"/>
      <c r="X18" s="6"/>
      <c r="Y18" s="6"/>
      <c r="Z18" s="5"/>
      <c r="AA18" s="5"/>
      <c r="AB18" s="8"/>
      <c r="AC18" s="6"/>
      <c r="AD18" s="6"/>
      <c r="AE18" s="6"/>
      <c r="AF18" s="7"/>
    </row>
    <row r="19" spans="1:32" ht="15.5" x14ac:dyDescent="0.35">
      <c r="A19" s="3" t="s">
        <v>16</v>
      </c>
      <c r="B19" s="18"/>
      <c r="C19" s="5"/>
      <c r="D19" s="5"/>
      <c r="E19" s="8"/>
      <c r="F19" s="6"/>
      <c r="G19" s="6"/>
      <c r="H19" s="6"/>
      <c r="I19" s="6"/>
      <c r="J19" s="5"/>
      <c r="K19" s="5"/>
      <c r="L19" s="8"/>
      <c r="M19" s="6"/>
      <c r="N19" s="6"/>
      <c r="O19" s="6"/>
      <c r="P19" s="6"/>
      <c r="Q19" s="5"/>
      <c r="R19" s="5"/>
      <c r="S19" s="8"/>
      <c r="T19" s="6"/>
      <c r="U19" s="6"/>
      <c r="V19" s="6"/>
      <c r="W19" s="6"/>
      <c r="X19" s="5"/>
      <c r="Y19" s="5"/>
      <c r="Z19" s="8"/>
      <c r="AA19" s="6"/>
      <c r="AB19" s="6"/>
      <c r="AC19" s="6"/>
      <c r="AD19" s="6"/>
      <c r="AE19" s="5"/>
      <c r="AF19" s="5"/>
    </row>
    <row r="20" spans="1:32" ht="15.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</row>
    <row r="21" spans="1:32" ht="15.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</row>
    <row r="22" spans="1:32" ht="15.5" x14ac:dyDescent="0.35">
      <c r="A22" s="20" t="s">
        <v>17</v>
      </c>
      <c r="B22" s="21" t="s">
        <v>18</v>
      </c>
      <c r="C22" s="21"/>
      <c r="D22" s="21"/>
      <c r="E22" s="21" t="s">
        <v>19</v>
      </c>
      <c r="F22" s="21"/>
      <c r="G22" s="18"/>
      <c r="H22" s="54" t="s">
        <v>20</v>
      </c>
      <c r="I22" s="55"/>
      <c r="J22" s="55"/>
      <c r="K22" s="55"/>
      <c r="L22" s="55"/>
      <c r="M22" s="56"/>
      <c r="N22" s="10"/>
      <c r="O22" s="10" t="s">
        <v>21</v>
      </c>
      <c r="P22" s="10"/>
      <c r="Q22" s="10"/>
      <c r="R22" s="10"/>
      <c r="S22" s="10"/>
      <c r="T22" s="10" t="s">
        <v>22</v>
      </c>
      <c r="U22" s="10"/>
      <c r="V22" s="10"/>
      <c r="W22" s="10"/>
      <c r="X22" s="10"/>
      <c r="Y22" s="10"/>
      <c r="Z22" s="10" t="s">
        <v>23</v>
      </c>
      <c r="AA22" s="10"/>
      <c r="AB22" s="10"/>
      <c r="AC22" s="10"/>
      <c r="AD22" s="10"/>
      <c r="AE22" s="10"/>
      <c r="AF22" s="16"/>
    </row>
    <row r="23" spans="1:32" ht="15.5" x14ac:dyDescent="0.35">
      <c r="A23" s="35">
        <v>44937</v>
      </c>
      <c r="B23" s="50"/>
      <c r="C23" s="50"/>
      <c r="D23" s="18"/>
      <c r="E23" s="50"/>
      <c r="F23" s="50"/>
      <c r="G23" s="18"/>
      <c r="H23" s="51" t="s">
        <v>138</v>
      </c>
      <c r="I23" s="52"/>
      <c r="J23" s="52"/>
      <c r="K23" s="52"/>
      <c r="L23" s="52"/>
      <c r="M23" s="53"/>
      <c r="N23" s="10"/>
      <c r="O23" s="10" t="s">
        <v>24</v>
      </c>
      <c r="P23" s="10"/>
      <c r="Q23" s="10"/>
      <c r="R23" s="10"/>
      <c r="S23" s="10"/>
      <c r="T23" s="10" t="s">
        <v>25</v>
      </c>
      <c r="U23" s="10"/>
      <c r="V23" s="10"/>
      <c r="W23" s="10"/>
      <c r="X23" s="10"/>
      <c r="Y23" s="10"/>
      <c r="Z23" s="23" t="s">
        <v>26</v>
      </c>
      <c r="AA23" s="10"/>
      <c r="AB23" s="10"/>
      <c r="AC23" s="10"/>
      <c r="AD23" s="10"/>
      <c r="AE23" s="10"/>
      <c r="AF23" s="16"/>
    </row>
    <row r="24" spans="1:32" ht="15.5" x14ac:dyDescent="0.35">
      <c r="A24" s="35">
        <v>44958</v>
      </c>
      <c r="B24" s="50"/>
      <c r="C24" s="50"/>
      <c r="D24" s="18"/>
      <c r="E24" s="50"/>
      <c r="F24" s="50"/>
      <c r="G24" s="18"/>
      <c r="H24" s="51" t="s">
        <v>138</v>
      </c>
      <c r="I24" s="52"/>
      <c r="J24" s="52"/>
      <c r="K24" s="52"/>
      <c r="L24" s="52"/>
      <c r="M24" s="53"/>
      <c r="N24" s="10"/>
      <c r="O24" s="10" t="s">
        <v>27</v>
      </c>
      <c r="P24" s="10"/>
      <c r="Q24" s="10"/>
      <c r="R24" s="10"/>
      <c r="S24" s="10"/>
      <c r="T24" s="23" t="s">
        <v>28</v>
      </c>
      <c r="U24" s="10"/>
      <c r="V24" s="10"/>
      <c r="W24" s="10"/>
      <c r="X24" s="10"/>
      <c r="Y24" s="10"/>
      <c r="Z24" s="10" t="s">
        <v>29</v>
      </c>
      <c r="AA24" s="10"/>
      <c r="AB24" s="10"/>
      <c r="AC24" s="10"/>
      <c r="AD24" s="10"/>
      <c r="AE24" s="10"/>
      <c r="AF24" s="16"/>
    </row>
    <row r="25" spans="1:32" ht="15.5" x14ac:dyDescent="0.35">
      <c r="A25" s="22"/>
      <c r="B25" s="50"/>
      <c r="C25" s="50"/>
      <c r="D25" s="18"/>
      <c r="E25" s="50"/>
      <c r="F25" s="50"/>
      <c r="G25" s="18"/>
      <c r="H25" s="51"/>
      <c r="I25" s="52"/>
      <c r="J25" s="52"/>
      <c r="K25" s="52"/>
      <c r="L25" s="52"/>
      <c r="M25" s="53"/>
      <c r="N25" s="10"/>
      <c r="O25" s="23" t="s">
        <v>30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 t="s">
        <v>31</v>
      </c>
      <c r="AA25" s="10"/>
      <c r="AB25" s="10"/>
      <c r="AC25" s="10"/>
      <c r="AD25" s="10"/>
      <c r="AE25" s="10"/>
      <c r="AF25" s="16"/>
    </row>
    <row r="26" spans="1:32" ht="15.5" x14ac:dyDescent="0.35">
      <c r="A26" s="22"/>
      <c r="B26" s="50"/>
      <c r="C26" s="50"/>
      <c r="D26" s="18"/>
      <c r="E26" s="50"/>
      <c r="F26" s="50"/>
      <c r="G26" s="18"/>
      <c r="H26" s="51"/>
      <c r="I26" s="52"/>
      <c r="J26" s="52"/>
      <c r="K26" s="52"/>
      <c r="L26" s="52"/>
      <c r="M26" s="53"/>
      <c r="N26" s="10"/>
      <c r="O26" s="23" t="s">
        <v>32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6"/>
    </row>
    <row r="27" spans="1:32" ht="15.5" x14ac:dyDescent="0.35">
      <c r="A27" s="22"/>
      <c r="B27" s="50"/>
      <c r="C27" s="50"/>
      <c r="D27" s="18"/>
      <c r="E27" s="50"/>
      <c r="F27" s="50"/>
      <c r="G27" s="18"/>
      <c r="H27" s="51"/>
      <c r="I27" s="52"/>
      <c r="J27" s="52"/>
      <c r="K27" s="52"/>
      <c r="L27" s="52"/>
      <c r="M27" s="5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6"/>
    </row>
    <row r="28" spans="1:32" ht="15.5" x14ac:dyDescent="0.35">
      <c r="A28" s="22"/>
      <c r="B28" s="50"/>
      <c r="C28" s="50"/>
      <c r="D28" s="18"/>
      <c r="E28" s="50"/>
      <c r="F28" s="50"/>
      <c r="G28" s="18"/>
      <c r="H28" s="51"/>
      <c r="I28" s="52"/>
      <c r="J28" s="52"/>
      <c r="K28" s="52"/>
      <c r="L28" s="52"/>
      <c r="M28" s="53"/>
      <c r="N28" s="10"/>
      <c r="O28" s="25" t="s">
        <v>126</v>
      </c>
      <c r="P28" s="10" t="s">
        <v>125</v>
      </c>
      <c r="Q28" s="10"/>
      <c r="R28" s="10"/>
      <c r="S28" s="25" t="s">
        <v>130</v>
      </c>
      <c r="T28" s="10" t="s">
        <v>131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6"/>
    </row>
    <row r="29" spans="1:32" ht="15.5" x14ac:dyDescent="0.3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26" t="s">
        <v>126</v>
      </c>
      <c r="P29" s="10" t="s">
        <v>127</v>
      </c>
      <c r="Q29" s="10"/>
      <c r="R29" s="10"/>
      <c r="S29" s="28" t="s">
        <v>130</v>
      </c>
      <c r="T29" s="10" t="s">
        <v>132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</row>
    <row r="30" spans="1:32" x14ac:dyDescent="0.35">
      <c r="O30" s="27" t="s">
        <v>128</v>
      </c>
      <c r="P30" t="s">
        <v>129</v>
      </c>
    </row>
  </sheetData>
  <mergeCells count="24">
    <mergeCell ref="B27:C27"/>
    <mergeCell ref="E27:F27"/>
    <mergeCell ref="H27:M27"/>
    <mergeCell ref="B28:C28"/>
    <mergeCell ref="E28:F28"/>
    <mergeCell ref="H28:M28"/>
    <mergeCell ref="B25:C25"/>
    <mergeCell ref="E25:F25"/>
    <mergeCell ref="H25:M25"/>
    <mergeCell ref="B26:C26"/>
    <mergeCell ref="E26:F26"/>
    <mergeCell ref="H26:M26"/>
    <mergeCell ref="B23:C23"/>
    <mergeCell ref="E23:F23"/>
    <mergeCell ref="H23:M23"/>
    <mergeCell ref="B24:C24"/>
    <mergeCell ref="E24:F24"/>
    <mergeCell ref="H24:M24"/>
    <mergeCell ref="H22:M22"/>
    <mergeCell ref="V1:W1"/>
    <mergeCell ref="A5:J5"/>
    <mergeCell ref="B6:C6"/>
    <mergeCell ref="E6:F6"/>
    <mergeCell ref="H6:J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065238E2B0B64CB2D3E9C4A77EE270" ma:contentTypeVersion="13" ma:contentTypeDescription="Create a new document." ma:contentTypeScope="" ma:versionID="25f91677b1d1e718fa7702f359910c09">
  <xsd:schema xmlns:xsd="http://www.w3.org/2001/XMLSchema" xmlns:xs="http://www.w3.org/2001/XMLSchema" xmlns:p="http://schemas.microsoft.com/office/2006/metadata/properties" xmlns:ns2="ca29676e-146f-4992-a625-6e1448ec12fb" xmlns:ns3="bcdf09f0-c0f3-4536-9075-519f9a5911b6" targetNamespace="http://schemas.microsoft.com/office/2006/metadata/properties" ma:root="true" ma:fieldsID="1bf40040fdbc9a7f845833869f6e8f08" ns2:_="" ns3:_="">
    <xsd:import namespace="ca29676e-146f-4992-a625-6e1448ec12fb"/>
    <xsd:import namespace="bcdf09f0-c0f3-4536-9075-519f9a5911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29676e-146f-4992-a625-6e1448ec12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c8ab95b9-39aa-4b9d-a2e7-0451eedf9b8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df09f0-c0f3-4536-9075-519f9a5911b6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ed81509-113f-41f3-bbd7-f31e130f880d}" ma:internalName="TaxCatchAll" ma:showField="CatchAllData" ma:web="bcdf09f0-c0f3-4536-9075-519f9a5911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a29676e-146f-4992-a625-6e1448ec12fb">
      <Terms xmlns="http://schemas.microsoft.com/office/infopath/2007/PartnerControls"/>
    </lcf76f155ced4ddcb4097134ff3c332f>
    <TaxCatchAll xmlns="bcdf09f0-c0f3-4536-9075-519f9a5911b6" xsi:nil="true"/>
  </documentManagement>
</p:properties>
</file>

<file path=customXml/itemProps1.xml><?xml version="1.0" encoding="utf-8"?>
<ds:datastoreItem xmlns:ds="http://schemas.openxmlformats.org/officeDocument/2006/customXml" ds:itemID="{7A9DBB09-269E-4DA1-9774-2DD99915958E}"/>
</file>

<file path=customXml/itemProps2.xml><?xml version="1.0" encoding="utf-8"?>
<ds:datastoreItem xmlns:ds="http://schemas.openxmlformats.org/officeDocument/2006/customXml" ds:itemID="{24E08F60-ED34-4131-8D3A-77F062ACF87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158A966-E79D-4081-AD5D-5AFAE10BF63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100</vt:i4>
      </vt:variant>
    </vt:vector>
  </HeadingPairs>
  <TitlesOfParts>
    <vt:vector size="100" baseType="lpstr">
      <vt:lpstr>Summary</vt:lpstr>
      <vt:lpstr>Data_Compiled</vt:lpstr>
      <vt:lpstr>Master 2023</vt:lpstr>
      <vt:lpstr>Marlene Akulic</vt:lpstr>
      <vt:lpstr>Reva Atkins</vt:lpstr>
      <vt:lpstr>Ashley Barnes </vt:lpstr>
      <vt:lpstr>Eric Barnes </vt:lpstr>
      <vt:lpstr>Sarah Barnes </vt:lpstr>
      <vt:lpstr>Bethany Bivens </vt:lpstr>
      <vt:lpstr>Diane Bivens </vt:lpstr>
      <vt:lpstr>Tammie Bivens </vt:lpstr>
      <vt:lpstr>Amy Bledsoe </vt:lpstr>
      <vt:lpstr>Nancy Bookout </vt:lpstr>
      <vt:lpstr>Janie Borden </vt:lpstr>
      <vt:lpstr>Nanette Bourzac </vt:lpstr>
      <vt:lpstr>Tammy Brooks</vt:lpstr>
      <vt:lpstr>Sebrina Brummett</vt:lpstr>
      <vt:lpstr>Sheena Bryan</vt:lpstr>
      <vt:lpstr>Mary Burger </vt:lpstr>
      <vt:lpstr>Jenniefr Cannon </vt:lpstr>
      <vt:lpstr>Robin Carroll </vt:lpstr>
      <vt:lpstr>Bess Cathcart </vt:lpstr>
      <vt:lpstr>Stacy Childress </vt:lpstr>
      <vt:lpstr>Elizabeth Clark </vt:lpstr>
      <vt:lpstr>Lisa Coburn </vt:lpstr>
      <vt:lpstr>Tammy Cooley </vt:lpstr>
      <vt:lpstr>Alice Cooper </vt:lpstr>
      <vt:lpstr>Kimberly Davis </vt:lpstr>
      <vt:lpstr>Wanda Dotson </vt:lpstr>
      <vt:lpstr>Krystopher Douglas </vt:lpstr>
      <vt:lpstr>Lois Dunn</vt:lpstr>
      <vt:lpstr>Jamie Fabrizio</vt:lpstr>
      <vt:lpstr>Tanner Frerichs</vt:lpstr>
      <vt:lpstr>Candice Frost </vt:lpstr>
      <vt:lpstr>Kelly Ghormley </vt:lpstr>
      <vt:lpstr>Benjamin Gibby </vt:lpstr>
      <vt:lpstr>Deborah Gibby </vt:lpstr>
      <vt:lpstr>Robert Givens </vt:lpstr>
      <vt:lpstr>Tonya Godwin</vt:lpstr>
      <vt:lpstr>Darius Goley</vt:lpstr>
      <vt:lpstr>Fredrick Hall </vt:lpstr>
      <vt:lpstr>Mary Hall </vt:lpstr>
      <vt:lpstr>Angela Hampton </vt:lpstr>
      <vt:lpstr>Nancy Harris</vt:lpstr>
      <vt:lpstr>Lena Headrick </vt:lpstr>
      <vt:lpstr>Lisa Helton </vt:lpstr>
      <vt:lpstr>Lisa Hicks </vt:lpstr>
      <vt:lpstr>Amy Howarth </vt:lpstr>
      <vt:lpstr>Nancy Hunt </vt:lpstr>
      <vt:lpstr>Katie James </vt:lpstr>
      <vt:lpstr>William Johnson</vt:lpstr>
      <vt:lpstr>Deborah Jones </vt:lpstr>
      <vt:lpstr>Jena Jones </vt:lpstr>
      <vt:lpstr>Delmis Kelly </vt:lpstr>
      <vt:lpstr>Justin Kelly </vt:lpstr>
      <vt:lpstr>Debbie Kliever </vt:lpstr>
      <vt:lpstr>Ginger Lee </vt:lpstr>
      <vt:lpstr>Viola Lorenz </vt:lpstr>
      <vt:lpstr>Dusty Martin </vt:lpstr>
      <vt:lpstr>Cynthia May </vt:lpstr>
      <vt:lpstr>Loreta McCluskey</vt:lpstr>
      <vt:lpstr>Kaylee McDaniel </vt:lpstr>
      <vt:lpstr>Nathan McKee </vt:lpstr>
      <vt:lpstr>Gary Miller </vt:lpstr>
      <vt:lpstr>Darlene Moore </vt:lpstr>
      <vt:lpstr>Jessie Morris </vt:lpstr>
      <vt:lpstr>Emily Newman </vt:lpstr>
      <vt:lpstr>Brenda Nichols </vt:lpstr>
      <vt:lpstr>Jerry Parker </vt:lpstr>
      <vt:lpstr>Pamela Patterson </vt:lpstr>
      <vt:lpstr>Carolyn Peels </vt:lpstr>
      <vt:lpstr>Timothy Peels </vt:lpstr>
      <vt:lpstr>Jessica Poff </vt:lpstr>
      <vt:lpstr>Alan Rankin </vt:lpstr>
      <vt:lpstr>Cheryl Reagan </vt:lpstr>
      <vt:lpstr>Sandra Reagan </vt:lpstr>
      <vt:lpstr>Melissa Redman </vt:lpstr>
      <vt:lpstr>Joey Richesin</vt:lpstr>
      <vt:lpstr>Beverly Roberts </vt:lpstr>
      <vt:lpstr>Lisa Roberts </vt:lpstr>
      <vt:lpstr>Alexis Rupinski</vt:lpstr>
      <vt:lpstr>Angela Rupinski</vt:lpstr>
      <vt:lpstr>Carla Schomaker </vt:lpstr>
      <vt:lpstr>Caleb Schutt </vt:lpstr>
      <vt:lpstr>Chasity Selby </vt:lpstr>
      <vt:lpstr>Janet Self </vt:lpstr>
      <vt:lpstr>Sonis Sharp </vt:lpstr>
      <vt:lpstr>Teia Shaw </vt:lpstr>
      <vt:lpstr>Christina Shepherd </vt:lpstr>
      <vt:lpstr>Justin Smith </vt:lpstr>
      <vt:lpstr>Shannon Smith </vt:lpstr>
      <vt:lpstr>Tabitha Stafford </vt:lpstr>
      <vt:lpstr>Emily Thomas </vt:lpstr>
      <vt:lpstr>Michelle Thomas </vt:lpstr>
      <vt:lpstr>Rebecca Tipton </vt:lpstr>
      <vt:lpstr>Jordan Veit </vt:lpstr>
      <vt:lpstr>Dennis Watson </vt:lpstr>
      <vt:lpstr>James Wells </vt:lpstr>
      <vt:lpstr>Sandra West </vt:lpstr>
      <vt:lpstr>Karen Young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 Harrison</dc:creator>
  <cp:lastModifiedBy>Guilherme Zuccolotto</cp:lastModifiedBy>
  <dcterms:created xsi:type="dcterms:W3CDTF">2022-09-13T12:49:21Z</dcterms:created>
  <dcterms:modified xsi:type="dcterms:W3CDTF">2023-03-13T18:03:36Z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0x01010082065238E2B0B64CB2D3E9C4A77EE270</vt:lpwstr>
  </property>
</Properties>
</file>